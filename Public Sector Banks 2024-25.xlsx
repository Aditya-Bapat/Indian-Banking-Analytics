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DITYA\Projects\Indian Banking Sector Performance &amp; Risk Dashboard\"/>
    </mc:Choice>
  </mc:AlternateContent>
  <xr:revisionPtr revIDLastSave="0" documentId="13_ncr:1_{D1BB7E34-E6B1-4C18-BF91-9495FEF04984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DEPO" sheetId="1" r:id="rId1"/>
    <sheet name="Assets" sheetId="2" r:id="rId2"/>
    <sheet name="INCOME" sheetId="3" r:id="rId3"/>
    <sheet name="EXP" sheetId="4" r:id="rId4"/>
    <sheet name="Profit" sheetId="5" r:id="rId5"/>
    <sheet name="Ratio I" sheetId="6" r:id="rId6"/>
    <sheet name="Ratio II" sheetId="7" r:id="rId7"/>
    <sheet name="NetNPAtoNetADV" sheetId="9" r:id="rId8"/>
  </sheets>
  <definedNames>
    <definedName name="_xlnm._FilterDatabase" localSheetId="1" hidden="1">Assets!$B$2:$T$14</definedName>
    <definedName name="_xlnm._FilterDatabase" localSheetId="0" hidden="1">DEPO!$A$2:$J$14</definedName>
    <definedName name="_xlnm._FilterDatabase" localSheetId="3" hidden="1">EXP!$A$2:$L$14</definedName>
    <definedName name="_xlnm._FilterDatabase" localSheetId="2" hidden="1">INCOME!$A$2:$M$14</definedName>
    <definedName name="_xlnm._FilterDatabase" localSheetId="7" hidden="1">NetNPAtoNetADV!$A$2:$K$14</definedName>
    <definedName name="_xlnm._FilterDatabase" localSheetId="4" hidden="1">Profit!$A$2:$K$14</definedName>
    <definedName name="_xlnm._FilterDatabase" localSheetId="5" hidden="1">'Ratio I'!$A$2:$L$14</definedName>
    <definedName name="_xlnm._FilterDatabase" localSheetId="6" hidden="1">'Ratio II'!$A$4:$L$17</definedName>
    <definedName name="_xlnm.Print_Area" localSheetId="1">Assets!$B$1:$L$15</definedName>
    <definedName name="_xlnm.Print_Area" localSheetId="0">DEPO!$B$1:$L$15</definedName>
    <definedName name="_xlnm.Print_Area" localSheetId="3">EXP!$B$1:$L$15</definedName>
    <definedName name="_xlnm.Print_Area" localSheetId="2">INCOME!$C$1:$M$14</definedName>
    <definedName name="_xlnm.Print_Area" localSheetId="7">NetNPAtoNetADV!$A$1:$K$15</definedName>
    <definedName name="_xlnm.Print_Area" localSheetId="4">Profit!$B$1:$L$16</definedName>
    <definedName name="_xlnm.Print_Area" localSheetId="5">'Ratio I'!$B$1:$L$16</definedName>
    <definedName name="_xlnm.Print_Area" localSheetId="6">'Ratio II'!$B$1:$P$21</definedName>
  </definedNames>
  <calcPr calcId="191029" iterate="1" iterateCount="1" iterateDelta="0"/>
</workbook>
</file>

<file path=xl/calcChain.xml><?xml version="1.0" encoding="utf-8"?>
<calcChain xmlns="http://schemas.openxmlformats.org/spreadsheetml/2006/main">
  <c r="I14" i="5" l="1"/>
  <c r="L14" i="5" s="1"/>
  <c r="H14" i="5"/>
  <c r="C13" i="9"/>
  <c r="C12" i="9"/>
  <c r="E13" i="9"/>
  <c r="E12" i="9"/>
  <c r="L14" i="6"/>
  <c r="K14" i="6"/>
  <c r="J14" i="6"/>
  <c r="I14" i="6"/>
  <c r="H14" i="6"/>
  <c r="G14" i="6"/>
  <c r="G13" i="6"/>
  <c r="F14" i="6"/>
  <c r="E14" i="6"/>
  <c r="D14" i="6"/>
  <c r="I13" i="5" l="1"/>
  <c r="I12" i="5"/>
  <c r="I11" i="5"/>
  <c r="I10" i="5"/>
  <c r="I9" i="5"/>
  <c r="M9" i="3"/>
  <c r="I8" i="5"/>
  <c r="I7" i="5"/>
  <c r="E11" i="9"/>
  <c r="E10" i="9"/>
  <c r="E9" i="9"/>
  <c r="E8" i="9"/>
  <c r="E7" i="9"/>
  <c r="I6" i="5"/>
  <c r="I5" i="5"/>
  <c r="H5" i="5"/>
  <c r="I4" i="5"/>
  <c r="L14" i="4"/>
  <c r="L13" i="4"/>
  <c r="L12" i="4"/>
  <c r="L11" i="4"/>
  <c r="L10" i="4"/>
  <c r="L9" i="4"/>
  <c r="L8" i="4"/>
  <c r="L7" i="4"/>
  <c r="L6" i="4"/>
  <c r="L5" i="4"/>
  <c r="L3" i="4"/>
  <c r="L4" i="4"/>
  <c r="M14" i="3"/>
  <c r="M13" i="3"/>
  <c r="M12" i="3"/>
  <c r="M11" i="3"/>
  <c r="M10" i="3"/>
  <c r="M8" i="3"/>
  <c r="M7" i="3"/>
  <c r="M6" i="3"/>
  <c r="M5" i="3"/>
  <c r="M4" i="3"/>
  <c r="M3" i="3"/>
  <c r="I13" i="6"/>
  <c r="I12" i="6"/>
  <c r="I11" i="6"/>
  <c r="I10" i="6"/>
  <c r="I9" i="6"/>
  <c r="I8" i="6"/>
  <c r="I7" i="6"/>
  <c r="I6" i="6"/>
  <c r="I5" i="6"/>
  <c r="I4" i="6"/>
  <c r="I3" i="6"/>
  <c r="L3" i="6"/>
  <c r="L13" i="6"/>
  <c r="L12" i="6"/>
  <c r="L11" i="6"/>
  <c r="L10" i="6"/>
  <c r="L9" i="6"/>
  <c r="L8" i="6"/>
  <c r="L7" i="6"/>
  <c r="L6" i="6"/>
  <c r="L5" i="6"/>
  <c r="L4" i="6"/>
  <c r="F13" i="6"/>
  <c r="F12" i="6"/>
  <c r="F11" i="6"/>
  <c r="F10" i="6"/>
  <c r="F9" i="6"/>
  <c r="F8" i="6"/>
  <c r="F7" i="6"/>
  <c r="F6" i="6"/>
  <c r="F5" i="6"/>
  <c r="F4" i="6"/>
  <c r="F3" i="6"/>
  <c r="I3" i="5"/>
  <c r="L13" i="5"/>
  <c r="L11" i="5"/>
  <c r="F17" i="7" l="1"/>
  <c r="S17" i="7" s="1"/>
  <c r="F14" i="7"/>
  <c r="S14" i="7" s="1"/>
  <c r="F9" i="7"/>
  <c r="S9" i="7" s="1"/>
  <c r="F15" i="7"/>
  <c r="S15" i="7" s="1"/>
  <c r="F11" i="7"/>
  <c r="S11" i="7" s="1"/>
  <c r="F12" i="7"/>
  <c r="S12" i="7" s="1"/>
  <c r="F7" i="7"/>
  <c r="S7" i="7" s="1"/>
  <c r="F8" i="7"/>
  <c r="S8" i="7" s="1"/>
  <c r="F10" i="7"/>
  <c r="S10" i="7" s="1"/>
  <c r="F6" i="7"/>
  <c r="S6" i="7" s="1"/>
  <c r="F13" i="7"/>
  <c r="S13" i="7" s="1"/>
  <c r="F5" i="7"/>
  <c r="S5" i="7" s="1"/>
  <c r="F16" i="7"/>
  <c r="S16" i="7" s="1"/>
  <c r="L5" i="5"/>
  <c r="L8" i="5"/>
  <c r="L6" i="5"/>
  <c r="L9" i="5"/>
  <c r="L10" i="5"/>
  <c r="L3" i="5"/>
  <c r="L12" i="5"/>
  <c r="L7" i="5"/>
  <c r="L4" i="5"/>
  <c r="H13" i="5" l="1"/>
  <c r="H12" i="5"/>
  <c r="H11" i="5"/>
  <c r="H10" i="5"/>
  <c r="H9" i="5"/>
  <c r="H8" i="5"/>
  <c r="H7" i="5"/>
  <c r="H6" i="5"/>
  <c r="H4" i="5"/>
  <c r="K13" i="6"/>
  <c r="K12" i="6"/>
  <c r="K11" i="6"/>
  <c r="K10" i="6"/>
  <c r="K9" i="6"/>
  <c r="K8" i="6"/>
  <c r="K7" i="6"/>
  <c r="K6" i="6"/>
  <c r="K5" i="6"/>
  <c r="K4" i="6"/>
  <c r="K3" i="6"/>
  <c r="H13" i="6"/>
  <c r="H12" i="6"/>
  <c r="H11" i="6"/>
  <c r="H10" i="6"/>
  <c r="H9" i="6"/>
  <c r="H8" i="6"/>
  <c r="H7" i="6"/>
  <c r="H6" i="6"/>
  <c r="H5" i="6"/>
  <c r="H4" i="6"/>
  <c r="H3" i="6"/>
  <c r="E13" i="6"/>
  <c r="E12" i="6"/>
  <c r="E11" i="6"/>
  <c r="E10" i="6"/>
  <c r="E9" i="6"/>
  <c r="E8" i="6"/>
  <c r="E7" i="6"/>
  <c r="E6" i="6"/>
  <c r="E5" i="6"/>
  <c r="E4" i="6"/>
  <c r="E3" i="6"/>
  <c r="H3" i="5"/>
  <c r="K14" i="4"/>
  <c r="K13" i="4"/>
  <c r="K12" i="4"/>
  <c r="K11" i="4"/>
  <c r="K10" i="4"/>
  <c r="K9" i="4"/>
  <c r="K8" i="4"/>
  <c r="K7" i="4"/>
  <c r="K6" i="4"/>
  <c r="K5" i="4"/>
  <c r="K4" i="4"/>
  <c r="K3" i="4"/>
  <c r="L14" i="3"/>
  <c r="L13" i="3"/>
  <c r="L12" i="3"/>
  <c r="L11" i="3"/>
  <c r="L10" i="3"/>
  <c r="L9" i="3"/>
  <c r="L8" i="3"/>
  <c r="L7" i="3"/>
  <c r="L6" i="3"/>
  <c r="L5" i="3"/>
  <c r="L4" i="3"/>
  <c r="L3" i="3"/>
  <c r="C14" i="9"/>
  <c r="C11" i="9"/>
  <c r="C10" i="9"/>
  <c r="C9" i="9"/>
  <c r="C8" i="9"/>
  <c r="C7" i="9"/>
  <c r="C6" i="9"/>
  <c r="C5" i="9"/>
  <c r="C4" i="9"/>
  <c r="C3" i="9"/>
  <c r="J13" i="6"/>
  <c r="D13" i="6"/>
  <c r="J12" i="6"/>
  <c r="G12" i="6"/>
  <c r="D12" i="6"/>
  <c r="J11" i="6"/>
  <c r="G11" i="6"/>
  <c r="D11" i="6"/>
  <c r="J10" i="6"/>
  <c r="G10" i="6"/>
  <c r="D10" i="6"/>
  <c r="J9" i="6"/>
  <c r="G9" i="6"/>
  <c r="D9" i="6"/>
  <c r="J8" i="6"/>
  <c r="G8" i="6"/>
  <c r="D8" i="6"/>
  <c r="J7" i="6"/>
  <c r="G7" i="6"/>
  <c r="D7" i="6"/>
  <c r="J6" i="6"/>
  <c r="G6" i="6"/>
  <c r="D6" i="6"/>
  <c r="J5" i="6"/>
  <c r="G5" i="6"/>
  <c r="D5" i="6"/>
  <c r="J4" i="6"/>
  <c r="G4" i="6"/>
  <c r="D4" i="6"/>
  <c r="J3" i="6"/>
  <c r="G3" i="6"/>
  <c r="D3" i="6"/>
  <c r="G13" i="5"/>
  <c r="G12" i="5"/>
  <c r="G11" i="5"/>
  <c r="G10" i="5"/>
  <c r="G9" i="5"/>
  <c r="G8" i="5"/>
  <c r="G7" i="5"/>
  <c r="G6" i="5"/>
  <c r="G5" i="5"/>
  <c r="G4" i="5"/>
  <c r="G3" i="5"/>
  <c r="J14" i="4"/>
  <c r="J13" i="4"/>
  <c r="J12" i="4"/>
  <c r="J11" i="4"/>
  <c r="J10" i="4"/>
  <c r="J9" i="4"/>
  <c r="J8" i="4"/>
  <c r="J7" i="4"/>
  <c r="J6" i="4"/>
  <c r="J5" i="4"/>
  <c r="J4" i="4"/>
  <c r="J3" i="4"/>
  <c r="K14" i="3"/>
  <c r="K13" i="3"/>
  <c r="K12" i="3"/>
  <c r="K11" i="3"/>
  <c r="K10" i="3"/>
  <c r="K9" i="3"/>
  <c r="K8" i="3"/>
  <c r="K7" i="3"/>
  <c r="K6" i="3"/>
  <c r="K5" i="3"/>
  <c r="K4" i="3"/>
  <c r="K3" i="3"/>
  <c r="D17" i="7" l="1"/>
  <c r="Q17" i="7"/>
  <c r="Q9" i="7"/>
  <c r="R10" i="7"/>
  <c r="R5" i="7"/>
  <c r="E17" i="7"/>
  <c r="R17" i="7" s="1"/>
  <c r="D7" i="7"/>
  <c r="Q7" i="7" s="1"/>
  <c r="D8" i="7"/>
  <c r="Q8" i="7" s="1"/>
  <c r="D15" i="7"/>
  <c r="Q15" i="7" s="1"/>
  <c r="E13" i="7"/>
  <c r="R13" i="7" s="1"/>
  <c r="E11" i="7"/>
  <c r="R11" i="7" s="1"/>
  <c r="D9" i="7"/>
  <c r="D10" i="7"/>
  <c r="Q10" i="7" s="1"/>
  <c r="E10" i="7"/>
  <c r="E12" i="7"/>
  <c r="R12" i="7" s="1"/>
  <c r="D11" i="7"/>
  <c r="Q11" i="7" s="1"/>
  <c r="E14" i="7"/>
  <c r="R14" i="7" s="1"/>
  <c r="D12" i="7"/>
  <c r="Q12" i="7" s="1"/>
  <c r="E7" i="7"/>
  <c r="R7" i="7" s="1"/>
  <c r="E15" i="7"/>
  <c r="R15" i="7" s="1"/>
  <c r="D13" i="7"/>
  <c r="Q13" i="7" s="1"/>
  <c r="E8" i="7"/>
  <c r="R8" i="7" s="1"/>
  <c r="D14" i="7"/>
  <c r="Q14" i="7" s="1"/>
  <c r="E9" i="7"/>
  <c r="R9" i="7" s="1"/>
  <c r="D16" i="7"/>
  <c r="Q16" i="7" s="1"/>
  <c r="E5" i="7"/>
  <c r="E3" i="5"/>
  <c r="D14" i="5"/>
  <c r="E9" i="5"/>
  <c r="D4" i="5"/>
  <c r="E14" i="5"/>
  <c r="E13" i="5"/>
  <c r="E12" i="5"/>
  <c r="E11" i="5"/>
  <c r="E10" i="5"/>
  <c r="E8" i="5"/>
  <c r="E7" i="5"/>
  <c r="E6" i="5"/>
  <c r="E5" i="5"/>
  <c r="E6" i="7"/>
  <c r="R6" i="7" s="1"/>
  <c r="E4" i="5"/>
  <c r="D12" i="5"/>
  <c r="D11" i="5"/>
  <c r="D10" i="5"/>
  <c r="D7" i="5"/>
  <c r="D5" i="5"/>
  <c r="D6" i="5"/>
  <c r="D9" i="5"/>
  <c r="D6" i="7"/>
  <c r="Q6" i="7" s="1"/>
  <c r="D13" i="5"/>
  <c r="D5" i="7"/>
  <c r="Q5" i="7" s="1"/>
  <c r="D8" i="5"/>
  <c r="D3" i="5"/>
  <c r="E16" i="7" l="1"/>
  <c r="R16" i="7" s="1"/>
  <c r="J10" i="5"/>
  <c r="K8" i="5"/>
  <c r="J8" i="5"/>
  <c r="K7" i="5"/>
  <c r="J4" i="5"/>
  <c r="J11" i="5"/>
  <c r="K9" i="5"/>
  <c r="J13" i="5"/>
  <c r="J12" i="5"/>
  <c r="J14" i="5"/>
  <c r="K10" i="5"/>
  <c r="J9" i="5"/>
  <c r="K11" i="5"/>
  <c r="J6" i="5"/>
  <c r="K5" i="5"/>
  <c r="K12" i="5"/>
  <c r="J5" i="5"/>
  <c r="K13" i="5"/>
  <c r="K3" i="5"/>
  <c r="J3" i="5"/>
  <c r="J7" i="5"/>
  <c r="K6" i="5"/>
  <c r="K4" i="5"/>
</calcChain>
</file>

<file path=xl/sharedStrings.xml><?xml version="1.0" encoding="utf-8"?>
<sst xmlns="http://schemas.openxmlformats.org/spreadsheetml/2006/main" count="157" uniqueCount="46">
  <si>
    <t>As on March 31</t>
  </si>
  <si>
    <t>I</t>
  </si>
  <si>
    <t>NATIONALISED BANKS</t>
  </si>
  <si>
    <t xml:space="preserve">Bank of Baroda </t>
  </si>
  <si>
    <t xml:space="preserve">Bank of India </t>
  </si>
  <si>
    <t>Bank of Maharashtra</t>
  </si>
  <si>
    <t xml:space="preserve">Canara Bank </t>
  </si>
  <si>
    <t>Central Bank of India</t>
  </si>
  <si>
    <t xml:space="preserve">Indian Bank </t>
  </si>
  <si>
    <t xml:space="preserve">Indian Overseas Bank </t>
  </si>
  <si>
    <t xml:space="preserve">Punjab National Bank  </t>
  </si>
  <si>
    <t xml:space="preserve">UCO Bank </t>
  </si>
  <si>
    <t>Union Bank of India</t>
  </si>
  <si>
    <t xml:space="preserve">State Bank of India (SBI)  </t>
  </si>
  <si>
    <t>Banks</t>
  </si>
  <si>
    <t>Net NPA as % to Net Advances</t>
  </si>
  <si>
    <t xml:space="preserve">Central Bank of India </t>
  </si>
  <si>
    <t>Statement VII : Public Sector Banks : Ratios</t>
  </si>
  <si>
    <t xml:space="preserve">Punjab &amp; Sind Bank </t>
  </si>
  <si>
    <t>Deposits</t>
  </si>
  <si>
    <t>Investments</t>
  </si>
  <si>
    <t>Advances</t>
  </si>
  <si>
    <t>Total Assets</t>
  </si>
  <si>
    <t>Gross NPA</t>
  </si>
  <si>
    <t>Net NPA</t>
  </si>
  <si>
    <t>Interest Income</t>
  </si>
  <si>
    <t>Other Income</t>
  </si>
  <si>
    <t>Total Income</t>
  </si>
  <si>
    <t>Interest Expended</t>
  </si>
  <si>
    <t>Operating Expenses</t>
  </si>
  <si>
    <t>Total Expenditure*</t>
  </si>
  <si>
    <t>Operating Profit</t>
  </si>
  <si>
    <t>Provision &amp; Contingencies</t>
  </si>
  <si>
    <t>Net Profit</t>
  </si>
  <si>
    <t>Credit Deposit Ratio</t>
  </si>
  <si>
    <t>Investment Deposit Ratio</t>
  </si>
  <si>
    <t>Spread as % Assets</t>
  </si>
  <si>
    <t>Return on Assets [%]</t>
  </si>
  <si>
    <t>Capital Adequacy Ratio-Basel III [%]</t>
  </si>
  <si>
    <t>TOTAL OF PUBLIC SECTOR BANKS [I+II]</t>
  </si>
  <si>
    <t>Business per Employee</t>
  </si>
  <si>
    <t>Profit per Employee</t>
  </si>
  <si>
    <t>(In Per Cent)</t>
  </si>
  <si>
    <t>Sr. No.</t>
  </si>
  <si>
    <t>Operating Expenses as % to Total Expenses</t>
  </si>
  <si>
    <t>Provision Coverage Ratio (PCR 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</si>
</sst>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0.00_);\(0.00\)"/>
    <numFmt numFmtId="166" formatCode="#,##0.0"/>
  </numFmts>
  <fonts count="3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2"/>
      <name val="Arial Narrow"/>
      <family val="2"/>
    </font>
    <font>
      <b/>
      <sz val="12"/>
      <name val="Arial Narrow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Book Antiqua"/>
      <family val="1"/>
    </font>
    <font>
      <sz val="10"/>
      <name val="Arial"/>
      <family val="2"/>
    </font>
    <font>
      <sz val="11"/>
      <color indexed="8"/>
      <name val="Calibri"/>
      <family val="2"/>
    </font>
    <font>
      <b/>
      <sz val="13"/>
      <name val="Arial Narrow"/>
      <family val="2"/>
    </font>
    <font>
      <b/>
      <sz val="13"/>
      <color theme="1"/>
      <name val="Arial Narrow"/>
      <family val="2"/>
    </font>
    <font>
      <sz val="12"/>
      <color theme="1"/>
      <name val="Calibri"/>
      <family val="2"/>
      <scheme val="minor"/>
    </font>
    <font>
      <b/>
      <u/>
      <sz val="16"/>
      <name val="Arial Narrow"/>
      <family val="2"/>
    </font>
    <font>
      <b/>
      <i/>
      <sz val="11"/>
      <name val="Arial Narrow"/>
      <family val="2"/>
    </font>
    <font>
      <i/>
      <sz val="11"/>
      <color theme="1"/>
      <name val="Arial Narrow"/>
      <family val="2"/>
    </font>
    <font>
      <sz val="13"/>
      <color theme="1"/>
      <name val="Arial Narrow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83">
    <xf numFmtId="0" fontId="0" fillId="0" borderId="0"/>
    <xf numFmtId="0" fontId="2" fillId="0" borderId="0" applyFill="0" applyBorder="0"/>
    <xf numFmtId="164" fontId="2" fillId="0" borderId="0" applyFont="0" applyFill="0" applyBorder="0" applyAlignment="0" applyProtection="0"/>
    <xf numFmtId="2" fontId="4" fillId="0" borderId="0" applyFont="0" applyFill="0" applyBorder="0" applyAlignment="0" applyProtection="0"/>
    <xf numFmtId="0" fontId="3" fillId="0" borderId="0"/>
    <xf numFmtId="0" fontId="4" fillId="0" borderId="0" applyFill="0" applyBorder="0"/>
    <xf numFmtId="164" fontId="4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4" fillId="0" borderId="6" applyNumberFormat="0" applyFill="0" applyAlignment="0" applyProtection="0"/>
    <xf numFmtId="0" fontId="14" fillId="0" borderId="0" applyNumberFormat="0" applyFill="0" applyBorder="0" applyAlignment="0" applyProtection="0"/>
    <xf numFmtId="0" fontId="15" fillId="2" borderId="0" applyNumberFormat="0" applyBorder="0" applyAlignment="0" applyProtection="0"/>
    <xf numFmtId="0" fontId="16" fillId="3" borderId="0" applyNumberFormat="0" applyBorder="0" applyAlignment="0" applyProtection="0"/>
    <xf numFmtId="0" fontId="17" fillId="4" borderId="0" applyNumberFormat="0" applyBorder="0" applyAlignment="0" applyProtection="0"/>
    <xf numFmtId="0" fontId="18" fillId="5" borderId="7" applyNumberFormat="0" applyAlignment="0" applyProtection="0"/>
    <xf numFmtId="0" fontId="19" fillId="6" borderId="8" applyNumberFormat="0" applyAlignment="0" applyProtection="0"/>
    <xf numFmtId="0" fontId="20" fillId="6" borderId="7" applyNumberFormat="0" applyAlignment="0" applyProtection="0"/>
    <xf numFmtId="0" fontId="21" fillId="0" borderId="9" applyNumberFormat="0" applyFill="0" applyAlignment="0" applyProtection="0"/>
    <xf numFmtId="0" fontId="22" fillId="7" borderId="10" applyNumberFormat="0" applyAlignment="0" applyProtection="0"/>
    <xf numFmtId="0" fontId="10" fillId="0" borderId="0" applyNumberFormat="0" applyFill="0" applyBorder="0" applyAlignment="0" applyProtection="0"/>
    <xf numFmtId="0" fontId="9" fillId="8" borderId="11" applyNumberFormat="0" applyFont="0" applyAlignment="0" applyProtection="0"/>
    <xf numFmtId="0" fontId="23" fillId="0" borderId="0" applyNumberFormat="0" applyFill="0" applyBorder="0" applyAlignment="0" applyProtection="0"/>
    <xf numFmtId="0" fontId="1" fillId="0" borderId="12" applyNumberFormat="0" applyFill="0" applyAlignment="0" applyProtection="0"/>
    <xf numFmtId="0" fontId="24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24" fillId="16" borderId="0" applyNumberFormat="0" applyBorder="0" applyAlignment="0" applyProtection="0"/>
    <xf numFmtId="0" fontId="24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24" fillId="20" borderId="0" applyNumberFormat="0" applyBorder="0" applyAlignment="0" applyProtection="0"/>
    <xf numFmtId="0" fontId="24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24" fillId="24" borderId="0" applyNumberFormat="0" applyBorder="0" applyAlignment="0" applyProtection="0"/>
    <xf numFmtId="0" fontId="24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24" fillId="32" borderId="0" applyNumberFormat="0" applyBorder="0" applyAlignment="0" applyProtection="0"/>
    <xf numFmtId="0" fontId="25" fillId="0" borderId="0"/>
    <xf numFmtId="0" fontId="26" fillId="0" borderId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8" borderId="11" applyNumberFormat="0" applyFont="0" applyAlignment="0" applyProtection="0"/>
    <xf numFmtId="0" fontId="27" fillId="8" borderId="11" applyNumberFormat="0" applyFont="0" applyAlignment="0" applyProtection="0"/>
    <xf numFmtId="0" fontId="27" fillId="8" borderId="11" applyNumberFormat="0" applyFont="0" applyAlignment="0" applyProtection="0"/>
    <xf numFmtId="0" fontId="2" fillId="0" borderId="0"/>
    <xf numFmtId="9" fontId="2" fillId="0" borderId="0" applyFont="0" applyFill="0" applyBorder="0" applyAlignment="0" applyProtection="0"/>
  </cellStyleXfs>
  <cellXfs count="158">
    <xf numFmtId="0" fontId="0" fillId="0" borderId="0" xfId="0"/>
    <xf numFmtId="0" fontId="6" fillId="0" borderId="19" xfId="1" applyFont="1" applyFill="1" applyBorder="1" applyAlignment="1">
      <alignment horizontal="center" vertical="center"/>
    </xf>
    <xf numFmtId="3" fontId="5" fillId="0" borderId="1" xfId="0" applyNumberFormat="1" applyFont="1" applyBorder="1" applyAlignment="1">
      <alignment horizontal="right" vertical="center"/>
    </xf>
    <xf numFmtId="0" fontId="6" fillId="0" borderId="0" xfId="4" applyFont="1" applyAlignment="1">
      <alignment vertical="center" wrapText="1"/>
    </xf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0" fontId="30" fillId="0" borderId="0" xfId="0" applyFont="1" applyAlignment="1">
      <alignment vertical="center"/>
    </xf>
    <xf numFmtId="0" fontId="6" fillId="0" borderId="20" xfId="1" applyFont="1" applyFill="1" applyBorder="1" applyAlignment="1">
      <alignment horizontal="center" vertical="center"/>
    </xf>
    <xf numFmtId="3" fontId="5" fillId="0" borderId="2" xfId="0" applyNumberFormat="1" applyFont="1" applyBorder="1" applyAlignment="1">
      <alignment horizontal="right" vertical="center"/>
    </xf>
    <xf numFmtId="3" fontId="5" fillId="0" borderId="3" xfId="0" applyNumberFormat="1" applyFont="1" applyBorder="1" applyAlignment="1">
      <alignment horizontal="right" vertical="center"/>
    </xf>
    <xf numFmtId="0" fontId="5" fillId="0" borderId="0" xfId="4" applyFont="1" applyAlignment="1">
      <alignment vertical="center"/>
    </xf>
    <xf numFmtId="3" fontId="7" fillId="0" borderId="0" xfId="0" applyNumberFormat="1" applyFont="1" applyAlignment="1">
      <alignment vertical="center"/>
    </xf>
    <xf numFmtId="0" fontId="5" fillId="0" borderId="0" xfId="4" applyFont="1" applyAlignment="1">
      <alignment horizontal="center" vertical="center"/>
    </xf>
    <xf numFmtId="3" fontId="8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19" xfId="4" applyFont="1" applyBorder="1" applyAlignment="1">
      <alignment horizontal="center" vertical="center"/>
    </xf>
    <xf numFmtId="0" fontId="6" fillId="0" borderId="20" xfId="4" applyFont="1" applyBorder="1" applyAlignment="1">
      <alignment horizontal="center" vertical="center"/>
    </xf>
    <xf numFmtId="4" fontId="5" fillId="0" borderId="1" xfId="0" applyNumberFormat="1" applyFont="1" applyBorder="1" applyAlignment="1">
      <alignment horizontal="right" vertical="center"/>
    </xf>
    <xf numFmtId="4" fontId="6" fillId="0" borderId="22" xfId="0" applyNumberFormat="1" applyFont="1" applyBorder="1" applyAlignment="1">
      <alignment horizontal="right" vertical="center"/>
    </xf>
    <xf numFmtId="2" fontId="7" fillId="0" borderId="0" xfId="0" applyNumberFormat="1" applyFont="1" applyAlignment="1">
      <alignment vertical="center"/>
    </xf>
    <xf numFmtId="0" fontId="6" fillId="0" borderId="0" xfId="1" applyFont="1" applyFill="1" applyBorder="1" applyAlignment="1">
      <alignment horizontal="center" vertical="center"/>
    </xf>
    <xf numFmtId="2" fontId="8" fillId="0" borderId="0" xfId="0" applyNumberFormat="1" applyFont="1" applyAlignment="1">
      <alignment vertical="center"/>
    </xf>
    <xf numFmtId="0" fontId="6" fillId="0" borderId="18" xfId="4" applyFont="1" applyBorder="1" applyAlignment="1">
      <alignment horizontal="center" vertical="center"/>
    </xf>
    <xf numFmtId="0" fontId="6" fillId="0" borderId="0" xfId="4" quotePrefix="1" applyFont="1" applyAlignment="1">
      <alignment vertical="center" wrapText="1"/>
    </xf>
    <xf numFmtId="165" fontId="6" fillId="0" borderId="0" xfId="0" applyNumberFormat="1" applyFont="1" applyAlignment="1">
      <alignment horizontal="right" vertical="center" wrapText="1"/>
    </xf>
    <xf numFmtId="4" fontId="6" fillId="0" borderId="0" xfId="0" applyNumberFormat="1" applyFont="1" applyAlignment="1">
      <alignment horizontal="right" vertical="center"/>
    </xf>
    <xf numFmtId="4" fontId="7" fillId="0" borderId="0" xfId="0" applyNumberFormat="1" applyFont="1" applyAlignment="1">
      <alignment vertical="center"/>
    </xf>
    <xf numFmtId="0" fontId="33" fillId="0" borderId="0" xfId="0" applyFont="1" applyAlignment="1">
      <alignment vertical="center"/>
    </xf>
    <xf numFmtId="0" fontId="3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4" fontId="5" fillId="0" borderId="29" xfId="0" applyNumberFormat="1" applyFont="1" applyBorder="1" applyAlignment="1">
      <alignment horizontal="right" vertical="center"/>
    </xf>
    <xf numFmtId="3" fontId="5" fillId="0" borderId="29" xfId="4" applyNumberFormat="1" applyFont="1" applyBorder="1" applyAlignment="1">
      <alignment horizontal="right" vertical="center"/>
    </xf>
    <xf numFmtId="3" fontId="5" fillId="0" borderId="29" xfId="4" applyNumberFormat="1" applyFont="1" applyBorder="1" applyAlignment="1">
      <alignment vertical="center"/>
    </xf>
    <xf numFmtId="166" fontId="8" fillId="0" borderId="0" xfId="0" applyNumberFormat="1" applyFont="1" applyAlignment="1">
      <alignment vertical="center"/>
    </xf>
    <xf numFmtId="4" fontId="8" fillId="0" borderId="0" xfId="0" applyNumberFormat="1" applyFont="1" applyAlignment="1">
      <alignment vertical="center"/>
    </xf>
    <xf numFmtId="0" fontId="6" fillId="0" borderId="16" xfId="4" applyFont="1" applyBorder="1" applyAlignment="1">
      <alignment vertical="center"/>
    </xf>
    <xf numFmtId="3" fontId="5" fillId="0" borderId="19" xfId="0" applyNumberFormat="1" applyFont="1" applyBorder="1" applyAlignment="1">
      <alignment horizontal="right" vertical="center"/>
    </xf>
    <xf numFmtId="3" fontId="7" fillId="0" borderId="25" xfId="0" applyNumberFormat="1" applyFont="1" applyBorder="1" applyAlignment="1">
      <alignment vertical="center"/>
    </xf>
    <xf numFmtId="4" fontId="5" fillId="0" borderId="2" xfId="0" applyNumberFormat="1" applyFont="1" applyBorder="1" applyAlignment="1">
      <alignment horizontal="right" vertical="center"/>
    </xf>
    <xf numFmtId="4" fontId="5" fillId="0" borderId="3" xfId="0" applyNumberFormat="1" applyFont="1" applyBorder="1" applyAlignment="1">
      <alignment horizontal="right" vertical="center"/>
    </xf>
    <xf numFmtId="4" fontId="7" fillId="0" borderId="17" xfId="0" applyNumberFormat="1" applyFont="1" applyBorder="1" applyAlignment="1">
      <alignment vertical="center"/>
    </xf>
    <xf numFmtId="3" fontId="7" fillId="0" borderId="17" xfId="0" applyNumberFormat="1" applyFont="1" applyBorder="1" applyAlignment="1">
      <alignment vertical="center"/>
    </xf>
    <xf numFmtId="3" fontId="7" fillId="0" borderId="37" xfId="0" applyNumberFormat="1" applyFont="1" applyBorder="1" applyAlignment="1">
      <alignment vertical="center"/>
    </xf>
    <xf numFmtId="3" fontId="7" fillId="0" borderId="30" xfId="0" applyNumberFormat="1" applyFont="1" applyBorder="1" applyAlignment="1">
      <alignment vertical="center"/>
    </xf>
    <xf numFmtId="3" fontId="7" fillId="0" borderId="29" xfId="0" applyNumberFormat="1" applyFont="1" applyBorder="1" applyAlignment="1">
      <alignment vertical="center"/>
    </xf>
    <xf numFmtId="0" fontId="6" fillId="0" borderId="1" xfId="4" applyFont="1" applyBorder="1" applyAlignment="1">
      <alignment vertical="center"/>
    </xf>
    <xf numFmtId="0" fontId="28" fillId="0" borderId="1" xfId="4" applyFont="1" applyBorder="1" applyAlignment="1">
      <alignment horizontal="center" vertical="center"/>
    </xf>
    <xf numFmtId="0" fontId="7" fillId="0" borderId="1" xfId="4" applyFont="1" applyBorder="1" applyAlignment="1">
      <alignment vertical="center"/>
    </xf>
    <xf numFmtId="3" fontId="7" fillId="0" borderId="1" xfId="0" applyNumberFormat="1" applyFont="1" applyBorder="1" applyAlignment="1">
      <alignment vertical="center"/>
    </xf>
    <xf numFmtId="0" fontId="5" fillId="0" borderId="1" xfId="4" applyFont="1" applyBorder="1" applyAlignment="1">
      <alignment vertical="center"/>
    </xf>
    <xf numFmtId="0" fontId="28" fillId="0" borderId="16" xfId="4" applyFont="1" applyBorder="1" applyAlignment="1">
      <alignment horizontal="center" vertical="center"/>
    </xf>
    <xf numFmtId="0" fontId="5" fillId="0" borderId="16" xfId="4" applyFont="1" applyBorder="1" applyAlignment="1">
      <alignment horizontal="center" vertical="center"/>
    </xf>
    <xf numFmtId="0" fontId="5" fillId="0" borderId="18" xfId="4" applyFont="1" applyBorder="1" applyAlignment="1">
      <alignment horizontal="center" vertical="center"/>
    </xf>
    <xf numFmtId="0" fontId="5" fillId="0" borderId="26" xfId="4" applyFont="1" applyBorder="1" applyAlignment="1">
      <alignment horizontal="center" vertical="center"/>
    </xf>
    <xf numFmtId="0" fontId="5" fillId="0" borderId="3" xfId="4" applyFont="1" applyBorder="1" applyAlignment="1">
      <alignment vertical="center"/>
    </xf>
    <xf numFmtId="3" fontId="7" fillId="0" borderId="3" xfId="0" applyNumberFormat="1" applyFont="1" applyBorder="1" applyAlignment="1">
      <alignment vertical="center"/>
    </xf>
    <xf numFmtId="0" fontId="7" fillId="0" borderId="3" xfId="4" applyFont="1" applyBorder="1" applyAlignment="1">
      <alignment vertical="center"/>
    </xf>
    <xf numFmtId="0" fontId="6" fillId="0" borderId="28" xfId="4" applyFont="1" applyBorder="1" applyAlignment="1">
      <alignment horizontal="center" vertical="center"/>
    </xf>
    <xf numFmtId="0" fontId="7" fillId="0" borderId="29" xfId="4" applyFont="1" applyBorder="1" applyAlignment="1">
      <alignment vertical="center"/>
    </xf>
    <xf numFmtId="3" fontId="5" fillId="0" borderId="29" xfId="0" applyNumberFormat="1" applyFont="1" applyBorder="1" applyAlignment="1">
      <alignment horizontal="right" vertical="center"/>
    </xf>
    <xf numFmtId="0" fontId="6" fillId="0" borderId="22" xfId="4" applyFont="1" applyBorder="1" applyAlignment="1">
      <alignment vertical="center" wrapText="1"/>
    </xf>
    <xf numFmtId="0" fontId="5" fillId="0" borderId="21" xfId="4" applyFont="1" applyBorder="1" applyAlignment="1">
      <alignment horizontal="center" vertical="center"/>
    </xf>
    <xf numFmtId="0" fontId="5" fillId="0" borderId="24" xfId="4" applyFont="1" applyBorder="1" applyAlignment="1">
      <alignment horizontal="center" vertical="center"/>
    </xf>
    <xf numFmtId="0" fontId="7" fillId="0" borderId="2" xfId="4" applyFont="1" applyBorder="1" applyAlignment="1">
      <alignment vertical="center"/>
    </xf>
    <xf numFmtId="3" fontId="7" fillId="0" borderId="2" xfId="0" applyNumberFormat="1" applyFont="1" applyBorder="1" applyAlignment="1">
      <alignment vertical="center"/>
    </xf>
    <xf numFmtId="0" fontId="6" fillId="0" borderId="19" xfId="4" applyFont="1" applyBorder="1" applyAlignment="1">
      <alignment vertical="center"/>
    </xf>
    <xf numFmtId="2" fontId="7" fillId="0" borderId="1" xfId="0" applyNumberFormat="1" applyFont="1" applyBorder="1" applyAlignment="1">
      <alignment vertical="center"/>
    </xf>
    <xf numFmtId="0" fontId="5" fillId="0" borderId="19" xfId="4" applyFont="1" applyBorder="1" applyAlignment="1">
      <alignment vertical="center"/>
    </xf>
    <xf numFmtId="3" fontId="7" fillId="0" borderId="19" xfId="0" applyNumberFormat="1" applyFont="1" applyBorder="1" applyAlignment="1">
      <alignment vertical="center"/>
    </xf>
    <xf numFmtId="0" fontId="6" fillId="0" borderId="34" xfId="4" applyFont="1" applyBorder="1" applyAlignment="1">
      <alignment horizontal="center" vertical="center"/>
    </xf>
    <xf numFmtId="0" fontId="5" fillId="0" borderId="2" xfId="4" applyFont="1" applyBorder="1" applyAlignment="1">
      <alignment vertical="center"/>
    </xf>
    <xf numFmtId="2" fontId="7" fillId="0" borderId="25" xfId="0" applyNumberFormat="1" applyFont="1" applyBorder="1" applyAlignment="1">
      <alignment vertical="center"/>
    </xf>
    <xf numFmtId="3" fontId="5" fillId="0" borderId="1" xfId="4" applyNumberFormat="1" applyFont="1" applyBorder="1" applyAlignment="1">
      <alignment horizontal="right" vertical="center"/>
    </xf>
    <xf numFmtId="3" fontId="5" fillId="0" borderId="3" xfId="4" applyNumberFormat="1" applyFont="1" applyBorder="1" applyAlignment="1">
      <alignment horizontal="right" vertical="center"/>
    </xf>
    <xf numFmtId="0" fontId="5" fillId="0" borderId="29" xfId="4" applyFont="1" applyBorder="1" applyAlignment="1">
      <alignment vertical="center"/>
    </xf>
    <xf numFmtId="3" fontId="5" fillId="0" borderId="1" xfId="0" applyNumberFormat="1" applyFont="1" applyBorder="1" applyAlignment="1">
      <alignment vertical="center"/>
    </xf>
    <xf numFmtId="0" fontId="8" fillId="0" borderId="28" xfId="0" applyFont="1" applyBorder="1" applyAlignment="1">
      <alignment horizontal="center" vertical="center"/>
    </xf>
    <xf numFmtId="3" fontId="5" fillId="0" borderId="2" xfId="4" applyNumberFormat="1" applyFont="1" applyBorder="1" applyAlignment="1">
      <alignment horizontal="right" vertical="center"/>
    </xf>
    <xf numFmtId="0" fontId="7" fillId="0" borderId="24" xfId="4" applyFont="1" applyBorder="1" applyAlignment="1">
      <alignment horizontal="center" vertical="center"/>
    </xf>
    <xf numFmtId="0" fontId="7" fillId="0" borderId="16" xfId="4" applyFont="1" applyBorder="1" applyAlignment="1">
      <alignment horizontal="center" vertical="center"/>
    </xf>
    <xf numFmtId="0" fontId="7" fillId="0" borderId="26" xfId="4" applyFont="1" applyBorder="1" applyAlignment="1">
      <alignment horizontal="center" vertical="center"/>
    </xf>
    <xf numFmtId="0" fontId="8" fillId="0" borderId="28" xfId="4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right" vertical="center"/>
    </xf>
    <xf numFmtId="2" fontId="5" fillId="0" borderId="2" xfId="0" applyNumberFormat="1" applyFont="1" applyBorder="1" applyAlignment="1">
      <alignment horizontal="right" vertical="center"/>
    </xf>
    <xf numFmtId="2" fontId="7" fillId="0" borderId="2" xfId="0" applyNumberFormat="1" applyFont="1" applyBorder="1" applyAlignment="1">
      <alignment vertical="center"/>
    </xf>
    <xf numFmtId="2" fontId="5" fillId="0" borderId="3" xfId="0" applyNumberFormat="1" applyFont="1" applyBorder="1" applyAlignment="1">
      <alignment horizontal="right" vertical="center"/>
    </xf>
    <xf numFmtId="0" fontId="7" fillId="0" borderId="28" xfId="0" applyFont="1" applyBorder="1" applyAlignment="1">
      <alignment horizontal="center" vertical="center"/>
    </xf>
    <xf numFmtId="2" fontId="5" fillId="0" borderId="29" xfId="0" applyNumberFormat="1" applyFont="1" applyBorder="1" applyAlignment="1">
      <alignment horizontal="right" vertical="center"/>
    </xf>
    <xf numFmtId="4" fontId="7" fillId="0" borderId="1" xfId="0" applyNumberFormat="1" applyFont="1" applyBorder="1" applyAlignment="1">
      <alignment vertical="center"/>
    </xf>
    <xf numFmtId="4" fontId="5" fillId="0" borderId="1" xfId="0" applyNumberFormat="1" applyFont="1" applyBorder="1" applyAlignment="1">
      <alignment vertical="center"/>
    </xf>
    <xf numFmtId="3" fontId="7" fillId="0" borderId="20" xfId="0" applyNumberFormat="1" applyFont="1" applyBorder="1" applyAlignment="1">
      <alignment vertical="center"/>
    </xf>
    <xf numFmtId="3" fontId="5" fillId="33" borderId="1" xfId="0" applyNumberFormat="1" applyFont="1" applyFill="1" applyBorder="1" applyAlignment="1">
      <alignment horizontal="right" vertical="center"/>
    </xf>
    <xf numFmtId="3" fontId="7" fillId="33" borderId="1" xfId="0" applyNumberFormat="1" applyFont="1" applyFill="1" applyBorder="1" applyAlignment="1">
      <alignment vertical="center"/>
    </xf>
    <xf numFmtId="4" fontId="5" fillId="33" borderId="1" xfId="0" applyNumberFormat="1" applyFont="1" applyFill="1" applyBorder="1" applyAlignment="1">
      <alignment horizontal="right" vertical="center"/>
    </xf>
    <xf numFmtId="4" fontId="7" fillId="33" borderId="1" xfId="0" applyNumberFormat="1" applyFont="1" applyFill="1" applyBorder="1" applyAlignment="1">
      <alignment vertical="center"/>
    </xf>
    <xf numFmtId="0" fontId="6" fillId="0" borderId="21" xfId="4" applyFont="1" applyBorder="1" applyAlignment="1">
      <alignment horizontal="center" vertical="center"/>
    </xf>
    <xf numFmtId="0" fontId="5" fillId="0" borderId="22" xfId="4" applyFont="1" applyBorder="1" applyAlignment="1">
      <alignment vertical="center"/>
    </xf>
    <xf numFmtId="3" fontId="5" fillId="0" borderId="22" xfId="0" applyNumberFormat="1" applyFont="1" applyBorder="1" applyAlignment="1">
      <alignment horizontal="right" vertical="center"/>
    </xf>
    <xf numFmtId="3" fontId="7" fillId="0" borderId="22" xfId="0" applyNumberFormat="1" applyFont="1" applyBorder="1" applyAlignment="1">
      <alignment vertical="center"/>
    </xf>
    <xf numFmtId="3" fontId="7" fillId="0" borderId="23" xfId="0" applyNumberFormat="1" applyFont="1" applyBorder="1" applyAlignment="1">
      <alignment vertical="center"/>
    </xf>
    <xf numFmtId="0" fontId="7" fillId="0" borderId="17" xfId="0" applyFont="1" applyBorder="1" applyAlignment="1">
      <alignment vertical="center"/>
    </xf>
    <xf numFmtId="2" fontId="7" fillId="0" borderId="1" xfId="0" applyNumberFormat="1" applyFont="1" applyBorder="1" applyAlignment="1">
      <alignment horizontal="right" vertical="center"/>
    </xf>
    <xf numFmtId="2" fontId="7" fillId="0" borderId="3" xfId="0" applyNumberFormat="1" applyFont="1" applyBorder="1" applyAlignment="1">
      <alignment horizontal="right" vertical="center"/>
    </xf>
    <xf numFmtId="2" fontId="7" fillId="0" borderId="29" xfId="0" applyNumberFormat="1" applyFont="1" applyBorder="1" applyAlignment="1">
      <alignment horizontal="right" vertical="center"/>
    </xf>
    <xf numFmtId="0" fontId="6" fillId="0" borderId="35" xfId="4" applyFont="1" applyBorder="1" applyAlignment="1">
      <alignment vertical="center"/>
    </xf>
    <xf numFmtId="0" fontId="6" fillId="0" borderId="35" xfId="1" applyFont="1" applyFill="1" applyBorder="1" applyAlignment="1">
      <alignment horizontal="center" vertical="center"/>
    </xf>
    <xf numFmtId="0" fontId="6" fillId="0" borderId="36" xfId="1" applyFont="1" applyFill="1" applyBorder="1" applyAlignment="1">
      <alignment horizontal="center" vertical="center"/>
    </xf>
    <xf numFmtId="2" fontId="7" fillId="0" borderId="17" xfId="0" applyNumberFormat="1" applyFont="1" applyBorder="1" applyAlignment="1">
      <alignment horizontal="right" vertical="center"/>
    </xf>
    <xf numFmtId="2" fontId="7" fillId="0" borderId="37" xfId="0" applyNumberFormat="1" applyFont="1" applyBorder="1" applyAlignment="1">
      <alignment horizontal="right" vertical="center"/>
    </xf>
    <xf numFmtId="2" fontId="7" fillId="0" borderId="30" xfId="0" applyNumberFormat="1" applyFont="1" applyBorder="1" applyAlignment="1">
      <alignment horizontal="right" vertical="center"/>
    </xf>
    <xf numFmtId="0" fontId="5" fillId="0" borderId="25" xfId="0" applyFont="1" applyBorder="1" applyAlignment="1">
      <alignment vertical="center"/>
    </xf>
    <xf numFmtId="4" fontId="5" fillId="0" borderId="2" xfId="0" applyNumberFormat="1" applyFont="1" applyBorder="1" applyAlignment="1">
      <alignment vertical="center"/>
    </xf>
    <xf numFmtId="4" fontId="7" fillId="0" borderId="19" xfId="0" applyNumberFormat="1" applyFont="1" applyBorder="1" applyAlignment="1">
      <alignment vertical="center"/>
    </xf>
    <xf numFmtId="4" fontId="7" fillId="0" borderId="20" xfId="0" applyNumberFormat="1" applyFont="1" applyBorder="1" applyAlignment="1">
      <alignment vertical="center"/>
    </xf>
    <xf numFmtId="0" fontId="32" fillId="0" borderId="0" xfId="4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 wrapText="1"/>
    </xf>
    <xf numFmtId="0" fontId="6" fillId="0" borderId="0" xfId="4" applyFont="1" applyAlignment="1">
      <alignment horizontal="center" vertical="center"/>
    </xf>
    <xf numFmtId="0" fontId="6" fillId="0" borderId="0" xfId="1" applyFont="1" applyFill="1" applyBorder="1" applyAlignment="1">
      <alignment vertical="center"/>
    </xf>
    <xf numFmtId="1" fontId="8" fillId="0" borderId="18" xfId="0" applyNumberFormat="1" applyFont="1" applyBorder="1" applyAlignment="1">
      <alignment horizontal="center" vertical="center"/>
    </xf>
    <xf numFmtId="4" fontId="7" fillId="0" borderId="25" xfId="0" applyNumberFormat="1" applyFont="1" applyBorder="1" applyAlignment="1">
      <alignment vertical="center"/>
    </xf>
    <xf numFmtId="0" fontId="31" fillId="0" borderId="0" xfId="1" applyFont="1" applyFill="1" applyBorder="1" applyAlignment="1">
      <alignment vertical="center"/>
    </xf>
    <xf numFmtId="4" fontId="7" fillId="0" borderId="24" xfId="0" applyNumberFormat="1" applyFont="1" applyBorder="1" applyAlignment="1">
      <alignment vertical="center"/>
    </xf>
    <xf numFmtId="4" fontId="7" fillId="0" borderId="16" xfId="0" applyNumberFormat="1" applyFont="1" applyBorder="1" applyAlignment="1">
      <alignment vertical="center"/>
    </xf>
    <xf numFmtId="4" fontId="7" fillId="0" borderId="18" xfId="0" applyNumberFormat="1" applyFont="1" applyBorder="1" applyAlignment="1">
      <alignment vertical="center"/>
    </xf>
    <xf numFmtId="0" fontId="8" fillId="0" borderId="0" xfId="0" applyFont="1" applyAlignment="1">
      <alignment vertical="center"/>
    </xf>
    <xf numFmtId="4" fontId="5" fillId="0" borderId="0" xfId="0" applyNumberFormat="1" applyFont="1" applyAlignment="1">
      <alignment vertical="center"/>
    </xf>
    <xf numFmtId="2" fontId="7" fillId="0" borderId="3" xfId="0" applyNumberFormat="1" applyFont="1" applyBorder="1" applyAlignment="1">
      <alignment vertical="center"/>
    </xf>
    <xf numFmtId="4" fontId="7" fillId="0" borderId="37" xfId="0" applyNumberFormat="1" applyFont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9" fillId="0" borderId="17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 wrapText="1"/>
    </xf>
    <xf numFmtId="0" fontId="29" fillId="0" borderId="17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29" fillId="0" borderId="33" xfId="0" applyFont="1" applyBorder="1" applyAlignment="1">
      <alignment horizontal="center" vertical="center"/>
    </xf>
    <xf numFmtId="0" fontId="29" fillId="0" borderId="32" xfId="0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0" fontId="29" fillId="0" borderId="27" xfId="0" applyFont="1" applyBorder="1" applyAlignment="1">
      <alignment horizontal="center" vertical="center"/>
    </xf>
    <xf numFmtId="0" fontId="6" fillId="0" borderId="33" xfId="1" applyFont="1" applyFill="1" applyBorder="1" applyAlignment="1">
      <alignment horizontal="right" vertical="center"/>
    </xf>
    <xf numFmtId="0" fontId="6" fillId="0" borderId="32" xfId="1" applyFont="1" applyFill="1" applyBorder="1" applyAlignment="1">
      <alignment horizontal="right" vertical="center"/>
    </xf>
    <xf numFmtId="0" fontId="6" fillId="0" borderId="31" xfId="1" applyFont="1" applyFill="1" applyBorder="1" applyAlignment="1">
      <alignment horizontal="right" vertical="center"/>
    </xf>
    <xf numFmtId="0" fontId="31" fillId="0" borderId="39" xfId="1" applyFont="1" applyFill="1" applyBorder="1" applyAlignment="1">
      <alignment horizontal="center" vertical="center"/>
    </xf>
    <xf numFmtId="0" fontId="31" fillId="0" borderId="38" xfId="1" applyFont="1" applyFill="1" applyBorder="1" applyAlignment="1">
      <alignment horizontal="center" vertical="center"/>
    </xf>
    <xf numFmtId="0" fontId="31" fillId="0" borderId="40" xfId="1" applyFont="1" applyFill="1" applyBorder="1" applyAlignment="1">
      <alignment horizontal="center" vertical="center"/>
    </xf>
    <xf numFmtId="4" fontId="8" fillId="0" borderId="42" xfId="0" applyNumberFormat="1" applyFont="1" applyBorder="1" applyAlignment="1">
      <alignment horizontal="center" vertical="center"/>
    </xf>
    <xf numFmtId="4" fontId="8" fillId="0" borderId="43" xfId="0" applyNumberFormat="1" applyFont="1" applyBorder="1" applyAlignment="1">
      <alignment horizontal="center" vertical="center"/>
    </xf>
    <xf numFmtId="4" fontId="8" fillId="0" borderId="41" xfId="0" applyNumberFormat="1" applyFont="1" applyBorder="1" applyAlignment="1">
      <alignment horizontal="center" vertical="center"/>
    </xf>
    <xf numFmtId="0" fontId="29" fillId="0" borderId="13" xfId="0" applyFont="1" applyBorder="1" applyAlignment="1">
      <alignment horizontal="center" vertical="center" wrapText="1"/>
    </xf>
    <xf numFmtId="0" fontId="29" fillId="0" borderId="14" xfId="0" applyFont="1" applyBorder="1" applyAlignment="1">
      <alignment horizontal="center" vertical="center" wrapText="1"/>
    </xf>
    <xf numFmtId="0" fontId="29" fillId="0" borderId="15" xfId="0" applyFont="1" applyBorder="1" applyAlignment="1">
      <alignment horizontal="center" vertical="center" wrapText="1"/>
    </xf>
    <xf numFmtId="0" fontId="6" fillId="0" borderId="1" xfId="4" applyFont="1" applyBorder="1" applyAlignment="1">
      <alignment horizontal="center" vertical="center"/>
    </xf>
    <xf numFmtId="0" fontId="5" fillId="0" borderId="1" xfId="4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4" fontId="5" fillId="0" borderId="1" xfId="4" applyNumberFormat="1" applyFont="1" applyBorder="1" applyAlignment="1">
      <alignment horizontal="right" vertical="center" wrapText="1"/>
    </xf>
    <xf numFmtId="0" fontId="6" fillId="0" borderId="1" xfId="1" applyFont="1" applyFill="1" applyBorder="1" applyAlignment="1">
      <alignment horizontal="center" vertical="center"/>
    </xf>
    <xf numFmtId="3" fontId="7" fillId="0" borderId="1" xfId="0" applyNumberFormat="1" applyFont="1" applyBorder="1" applyAlignment="1">
      <alignment horizontal="right" vertical="center"/>
    </xf>
  </cellXfs>
  <cellStyles count="83">
    <cellStyle name="20% - Accent1" xfId="25" builtinId="30" customBuiltin="1"/>
    <cellStyle name="20% - Accent1 2" xfId="50" xr:uid="{00000000-0005-0000-0000-000001000000}"/>
    <cellStyle name="20% - Accent1 3" xfId="51" xr:uid="{00000000-0005-0000-0000-000002000000}"/>
    <cellStyle name="20% - Accent2" xfId="29" builtinId="34" customBuiltin="1"/>
    <cellStyle name="20% - Accent2 2" xfId="52" xr:uid="{00000000-0005-0000-0000-000004000000}"/>
    <cellStyle name="20% - Accent2 3" xfId="53" xr:uid="{00000000-0005-0000-0000-000005000000}"/>
    <cellStyle name="20% - Accent3" xfId="33" builtinId="38" customBuiltin="1"/>
    <cellStyle name="20% - Accent3 2" xfId="54" xr:uid="{00000000-0005-0000-0000-000007000000}"/>
    <cellStyle name="20% - Accent3 3" xfId="55" xr:uid="{00000000-0005-0000-0000-000008000000}"/>
    <cellStyle name="20% - Accent4" xfId="37" builtinId="42" customBuiltin="1"/>
    <cellStyle name="20% - Accent4 2" xfId="56" xr:uid="{00000000-0005-0000-0000-00000A000000}"/>
    <cellStyle name="20% - Accent4 3" xfId="57" xr:uid="{00000000-0005-0000-0000-00000B000000}"/>
    <cellStyle name="20% - Accent5" xfId="41" builtinId="46" customBuiltin="1"/>
    <cellStyle name="20% - Accent5 2" xfId="58" xr:uid="{00000000-0005-0000-0000-00000D000000}"/>
    <cellStyle name="20% - Accent5 3" xfId="59" xr:uid="{00000000-0005-0000-0000-00000E000000}"/>
    <cellStyle name="20% - Accent6" xfId="45" builtinId="50" customBuiltin="1"/>
    <cellStyle name="20% - Accent6 2" xfId="60" xr:uid="{00000000-0005-0000-0000-000010000000}"/>
    <cellStyle name="20% - Accent6 3" xfId="61" xr:uid="{00000000-0005-0000-0000-000011000000}"/>
    <cellStyle name="40% - Accent1" xfId="26" builtinId="31" customBuiltin="1"/>
    <cellStyle name="40% - Accent1 2" xfId="62" xr:uid="{00000000-0005-0000-0000-000013000000}"/>
    <cellStyle name="40% - Accent1 3" xfId="63" xr:uid="{00000000-0005-0000-0000-000014000000}"/>
    <cellStyle name="40% - Accent2" xfId="30" builtinId="35" customBuiltin="1"/>
    <cellStyle name="40% - Accent2 2" xfId="64" xr:uid="{00000000-0005-0000-0000-000016000000}"/>
    <cellStyle name="40% - Accent2 3" xfId="65" xr:uid="{00000000-0005-0000-0000-000017000000}"/>
    <cellStyle name="40% - Accent3" xfId="34" builtinId="39" customBuiltin="1"/>
    <cellStyle name="40% - Accent3 2" xfId="66" xr:uid="{00000000-0005-0000-0000-000019000000}"/>
    <cellStyle name="40% - Accent3 3" xfId="67" xr:uid="{00000000-0005-0000-0000-00001A000000}"/>
    <cellStyle name="40% - Accent4" xfId="38" builtinId="43" customBuiltin="1"/>
    <cellStyle name="40% - Accent4 2" xfId="68" xr:uid="{00000000-0005-0000-0000-00001C000000}"/>
    <cellStyle name="40% - Accent4 3" xfId="69" xr:uid="{00000000-0005-0000-0000-00001D000000}"/>
    <cellStyle name="40% - Accent5" xfId="42" builtinId="47" customBuiltin="1"/>
    <cellStyle name="40% - Accent5 2" xfId="70" xr:uid="{00000000-0005-0000-0000-00001F000000}"/>
    <cellStyle name="40% - Accent5 3" xfId="71" xr:uid="{00000000-0005-0000-0000-000020000000}"/>
    <cellStyle name="40% - Accent6" xfId="46" builtinId="51" customBuiltin="1"/>
    <cellStyle name="40% - Accent6 2" xfId="72" xr:uid="{00000000-0005-0000-0000-000022000000}"/>
    <cellStyle name="40% - Accent6 3" xfId="73" xr:uid="{00000000-0005-0000-0000-000023000000}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 2" xfId="2" xr:uid="{00000000-0005-0000-0000-000034000000}"/>
    <cellStyle name="Comma 3" xfId="6" xr:uid="{00000000-0005-0000-0000-000035000000}"/>
    <cellStyle name="Explanatory Text" xfId="22" builtinId="53" customBuiltin="1"/>
    <cellStyle name="Fixed" xfId="3" xr:uid="{00000000-0005-0000-0000-000037000000}"/>
    <cellStyle name="Good" xfId="12" builtinId="26" customBuiltin="1"/>
    <cellStyle name="Heading 1" xfId="8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11" xfId="74" xr:uid="{00000000-0005-0000-0000-000041000000}"/>
    <cellStyle name="Normal 2" xfId="1" xr:uid="{00000000-0005-0000-0000-000042000000}"/>
    <cellStyle name="Normal 2 2" xfId="75" xr:uid="{00000000-0005-0000-0000-000043000000}"/>
    <cellStyle name="Normal 3" xfId="5" xr:uid="{00000000-0005-0000-0000-000044000000}"/>
    <cellStyle name="Normal 3 2" xfId="76" xr:uid="{00000000-0005-0000-0000-000045000000}"/>
    <cellStyle name="Normal 4" xfId="77" xr:uid="{00000000-0005-0000-0000-000046000000}"/>
    <cellStyle name="Normal 5" xfId="49" xr:uid="{00000000-0005-0000-0000-000047000000}"/>
    <cellStyle name="Normal 6" xfId="48" xr:uid="{00000000-0005-0000-0000-000048000000}"/>
    <cellStyle name="Normal 7" xfId="81" xr:uid="{00000000-0005-0000-0000-000049000000}"/>
    <cellStyle name="Normal_Sheet1" xfId="4" xr:uid="{00000000-0005-0000-0000-00004A000000}"/>
    <cellStyle name="Note" xfId="21" builtinId="10" customBuiltin="1"/>
    <cellStyle name="Note 2" xfId="78" xr:uid="{00000000-0005-0000-0000-00004C000000}"/>
    <cellStyle name="Note 3" xfId="79" xr:uid="{00000000-0005-0000-0000-00004D000000}"/>
    <cellStyle name="Note 4" xfId="80" xr:uid="{00000000-0005-0000-0000-00004E000000}"/>
    <cellStyle name="Output" xfId="16" builtinId="21" customBuiltin="1"/>
    <cellStyle name="Percent 2" xfId="82" xr:uid="{00000000-0005-0000-0000-000050000000}"/>
    <cellStyle name="Title" xfId="7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P16"/>
  <sheetViews>
    <sheetView zoomScaleNormal="100" zoomScaleSheetLayoutView="90" workbookViewId="0">
      <selection activeCell="M8" sqref="M8"/>
    </sheetView>
  </sheetViews>
  <sheetFormatPr defaultColWidth="9.28515625" defaultRowHeight="15.75" x14ac:dyDescent="0.25"/>
  <cols>
    <col min="1" max="1" width="9.28515625" style="14"/>
    <col min="2" max="2" width="7.85546875" style="14" customWidth="1"/>
    <col min="3" max="3" width="37.7109375" style="14" customWidth="1"/>
    <col min="4" max="4" width="12.28515625" style="14" customWidth="1"/>
    <col min="5" max="5" width="12.42578125" style="14" customWidth="1"/>
    <col min="6" max="6" width="12.28515625" style="14" customWidth="1"/>
    <col min="7" max="7" width="11.85546875" style="14" customWidth="1"/>
    <col min="8" max="8" width="11.28515625" style="14" customWidth="1"/>
    <col min="9" max="9" width="11.42578125" style="14" customWidth="1"/>
    <col min="10" max="10" width="11.28515625" style="14" customWidth="1"/>
    <col min="11" max="12" width="12" style="14" customWidth="1"/>
    <col min="13" max="15" width="9.28515625" style="14"/>
    <col min="16" max="16" width="14.42578125" style="14" customWidth="1"/>
    <col min="17" max="16384" width="9.28515625" style="14"/>
  </cols>
  <sheetData>
    <row r="1" spans="2:16" s="28" customFormat="1" ht="30.6" customHeight="1" x14ac:dyDescent="0.25">
      <c r="B1" s="46" t="s">
        <v>43</v>
      </c>
      <c r="C1" s="46" t="s">
        <v>14</v>
      </c>
      <c r="D1" s="130" t="s">
        <v>19</v>
      </c>
      <c r="E1" s="130"/>
      <c r="F1" s="130"/>
      <c r="G1" s="130" t="s">
        <v>20</v>
      </c>
      <c r="H1" s="130"/>
      <c r="I1" s="130"/>
      <c r="J1" s="130" t="s">
        <v>21</v>
      </c>
      <c r="K1" s="130"/>
      <c r="L1" s="130"/>
    </row>
    <row r="2" spans="2:16" ht="19.149999999999999" customHeight="1" x14ac:dyDescent="0.25">
      <c r="B2" s="151" t="s">
        <v>1</v>
      </c>
      <c r="C2" s="45" t="s">
        <v>2</v>
      </c>
      <c r="D2" s="156">
        <v>2023</v>
      </c>
      <c r="E2" s="156">
        <v>2024</v>
      </c>
      <c r="F2" s="156">
        <v>2025</v>
      </c>
      <c r="G2" s="156">
        <v>2023</v>
      </c>
      <c r="H2" s="156">
        <v>2024</v>
      </c>
      <c r="I2" s="156">
        <v>2025</v>
      </c>
      <c r="J2" s="156">
        <v>2023</v>
      </c>
      <c r="K2" s="156">
        <v>2024</v>
      </c>
      <c r="L2" s="156">
        <v>2025</v>
      </c>
    </row>
    <row r="3" spans="2:16" ht="18.600000000000001" customHeight="1" x14ac:dyDescent="0.25">
      <c r="B3" s="152">
        <v>1</v>
      </c>
      <c r="C3" s="47" t="s">
        <v>3</v>
      </c>
      <c r="D3" s="2">
        <v>1203687.79</v>
      </c>
      <c r="E3" s="2">
        <v>1335136.3999999999</v>
      </c>
      <c r="F3" s="2">
        <v>1472034.85</v>
      </c>
      <c r="G3" s="2">
        <v>362485.36</v>
      </c>
      <c r="H3" s="2">
        <v>369816.84</v>
      </c>
      <c r="I3" s="2">
        <v>385398.45</v>
      </c>
      <c r="J3" s="48">
        <v>940998.27</v>
      </c>
      <c r="K3" s="48">
        <v>1065781.72</v>
      </c>
      <c r="L3" s="48">
        <v>1209557.8999999999</v>
      </c>
      <c r="P3" s="26"/>
    </row>
    <row r="4" spans="2:16" ht="18.600000000000001" customHeight="1" x14ac:dyDescent="0.25">
      <c r="B4" s="152">
        <v>2</v>
      </c>
      <c r="C4" s="47" t="s">
        <v>4</v>
      </c>
      <c r="D4" s="2">
        <v>669586</v>
      </c>
      <c r="E4" s="2">
        <v>737920.21</v>
      </c>
      <c r="F4" s="2">
        <v>816541.49</v>
      </c>
      <c r="G4" s="2">
        <v>204398</v>
      </c>
      <c r="H4" s="2">
        <v>227144.47</v>
      </c>
      <c r="I4" s="2">
        <v>259111.8</v>
      </c>
      <c r="J4" s="48">
        <v>485899.64</v>
      </c>
      <c r="K4" s="48">
        <v>563144.67000000004</v>
      </c>
      <c r="L4" s="48">
        <v>649657.04</v>
      </c>
      <c r="P4" s="26"/>
    </row>
    <row r="5" spans="2:16" ht="18.600000000000001" customHeight="1" x14ac:dyDescent="0.25">
      <c r="B5" s="152">
        <v>3</v>
      </c>
      <c r="C5" s="49" t="s">
        <v>5</v>
      </c>
      <c r="D5" s="2">
        <v>234082.68</v>
      </c>
      <c r="E5" s="2">
        <v>270747.17</v>
      </c>
      <c r="F5" s="2">
        <v>307142.59999999998</v>
      </c>
      <c r="G5" s="2">
        <v>68866.95</v>
      </c>
      <c r="H5" s="2">
        <v>68274.12</v>
      </c>
      <c r="I5" s="2">
        <v>82004.789999999994</v>
      </c>
      <c r="J5" s="48">
        <v>171220.67</v>
      </c>
      <c r="K5" s="48">
        <v>200239.88</v>
      </c>
      <c r="L5" s="48">
        <v>236083.8</v>
      </c>
      <c r="P5" s="26"/>
    </row>
    <row r="6" spans="2:16" ht="18.600000000000001" customHeight="1" x14ac:dyDescent="0.25">
      <c r="B6" s="152">
        <v>4</v>
      </c>
      <c r="C6" s="47" t="s">
        <v>6</v>
      </c>
      <c r="D6" s="2">
        <v>1179218.6100000001</v>
      </c>
      <c r="E6" s="2">
        <v>1312366.6100000001</v>
      </c>
      <c r="F6" s="2">
        <v>1456883.18</v>
      </c>
      <c r="G6" s="2">
        <v>319038.45</v>
      </c>
      <c r="H6" s="2">
        <v>357454.42</v>
      </c>
      <c r="I6" s="2">
        <v>380343.4</v>
      </c>
      <c r="J6" s="48">
        <v>830672.55</v>
      </c>
      <c r="K6" s="48">
        <v>931612.83</v>
      </c>
      <c r="L6" s="48">
        <v>1049155.02</v>
      </c>
      <c r="P6" s="26"/>
    </row>
    <row r="7" spans="2:16" ht="18.600000000000001" customHeight="1" x14ac:dyDescent="0.25">
      <c r="B7" s="152">
        <v>5</v>
      </c>
      <c r="C7" s="49" t="s">
        <v>7</v>
      </c>
      <c r="D7" s="2">
        <v>359296.47</v>
      </c>
      <c r="E7" s="2">
        <v>385011.32</v>
      </c>
      <c r="F7" s="2">
        <v>412697.14</v>
      </c>
      <c r="G7" s="2">
        <v>136583.48000000001</v>
      </c>
      <c r="H7" s="2">
        <v>143923.49</v>
      </c>
      <c r="I7" s="2">
        <v>141435.25</v>
      </c>
      <c r="J7" s="48">
        <v>202984.31</v>
      </c>
      <c r="K7" s="48">
        <v>243406.28</v>
      </c>
      <c r="L7" s="157">
        <v>282419.87</v>
      </c>
      <c r="P7" s="26"/>
    </row>
    <row r="8" spans="2:16" ht="18.600000000000001" customHeight="1" x14ac:dyDescent="0.25">
      <c r="B8" s="152">
        <v>6</v>
      </c>
      <c r="C8" s="49" t="s">
        <v>8</v>
      </c>
      <c r="D8" s="2">
        <v>621165.76</v>
      </c>
      <c r="E8" s="2">
        <v>688000</v>
      </c>
      <c r="F8" s="2">
        <v>737153.56</v>
      </c>
      <c r="G8" s="2">
        <v>185988.25</v>
      </c>
      <c r="H8" s="2">
        <v>212554.47659999999</v>
      </c>
      <c r="I8" s="2">
        <v>225303.12</v>
      </c>
      <c r="J8" s="48">
        <v>449296.73</v>
      </c>
      <c r="K8" s="48">
        <v>514889.06819999998</v>
      </c>
      <c r="L8" s="157">
        <v>571071.18999999994</v>
      </c>
      <c r="P8" s="26"/>
    </row>
    <row r="9" spans="2:16" ht="18.600000000000001" customHeight="1" x14ac:dyDescent="0.25">
      <c r="B9" s="152">
        <v>7</v>
      </c>
      <c r="C9" s="47" t="s">
        <v>9</v>
      </c>
      <c r="D9" s="2">
        <v>260883.29</v>
      </c>
      <c r="E9" s="2">
        <v>285905.38</v>
      </c>
      <c r="F9" s="2">
        <v>311938.82</v>
      </c>
      <c r="G9" s="2">
        <v>94170.41</v>
      </c>
      <c r="H9" s="2">
        <v>99632.08</v>
      </c>
      <c r="I9" s="2">
        <v>111044.84</v>
      </c>
      <c r="J9" s="48">
        <v>178052.57</v>
      </c>
      <c r="K9" s="48">
        <v>213318.81</v>
      </c>
      <c r="L9" s="48">
        <v>245555.17</v>
      </c>
      <c r="P9" s="26"/>
    </row>
    <row r="10" spans="2:16" ht="18.600000000000001" customHeight="1" x14ac:dyDescent="0.25">
      <c r="B10" s="152">
        <v>8</v>
      </c>
      <c r="C10" s="47" t="s">
        <v>18</v>
      </c>
      <c r="D10" s="2">
        <v>109665.49</v>
      </c>
      <c r="E10" s="2">
        <v>119409.55</v>
      </c>
      <c r="F10" s="2">
        <v>129774.02</v>
      </c>
      <c r="G10" s="2">
        <v>44838.42</v>
      </c>
      <c r="H10" s="2">
        <v>49599.16</v>
      </c>
      <c r="I10" s="2">
        <v>46912.31</v>
      </c>
      <c r="J10" s="48">
        <v>76819.429999999993</v>
      </c>
      <c r="K10" s="48">
        <v>82736.38</v>
      </c>
      <c r="L10" s="48">
        <v>97299.9</v>
      </c>
      <c r="P10" s="26"/>
    </row>
    <row r="11" spans="2:16" ht="18.600000000000001" customHeight="1" x14ac:dyDescent="0.25">
      <c r="B11" s="152">
        <v>9</v>
      </c>
      <c r="C11" s="47" t="s">
        <v>10</v>
      </c>
      <c r="D11" s="2">
        <v>1281163.1000000001</v>
      </c>
      <c r="E11" s="2">
        <v>1369712.81</v>
      </c>
      <c r="F11" s="2">
        <v>1566623.28</v>
      </c>
      <c r="G11" s="2">
        <v>395996.72</v>
      </c>
      <c r="H11" s="2">
        <v>420318.21</v>
      </c>
      <c r="I11" s="2">
        <v>497311.25</v>
      </c>
      <c r="J11" s="48">
        <v>830833.98</v>
      </c>
      <c r="K11" s="48">
        <v>934430.59</v>
      </c>
      <c r="L11" s="48">
        <v>1077474.57</v>
      </c>
      <c r="P11" s="26"/>
    </row>
    <row r="12" spans="2:16" ht="18.600000000000001" customHeight="1" x14ac:dyDescent="0.25">
      <c r="B12" s="152">
        <v>10</v>
      </c>
      <c r="C12" s="49" t="s">
        <v>11</v>
      </c>
      <c r="D12" s="2">
        <v>249337.74</v>
      </c>
      <c r="E12" s="2">
        <v>263129.77</v>
      </c>
      <c r="F12" s="2">
        <v>293542.18</v>
      </c>
      <c r="G12" s="2">
        <v>95169.35</v>
      </c>
      <c r="H12" s="2">
        <v>92904.4</v>
      </c>
      <c r="I12" s="2">
        <v>94272.49</v>
      </c>
      <c r="J12" s="48">
        <v>155870.18</v>
      </c>
      <c r="K12" s="48">
        <v>182021.87</v>
      </c>
      <c r="L12" s="48">
        <v>215134.58</v>
      </c>
      <c r="P12" s="26"/>
    </row>
    <row r="13" spans="2:16" ht="18.600000000000001" customHeight="1" x14ac:dyDescent="0.25">
      <c r="B13" s="152">
        <v>11</v>
      </c>
      <c r="C13" s="49" t="s">
        <v>12</v>
      </c>
      <c r="D13" s="2">
        <v>1117716.32</v>
      </c>
      <c r="E13" s="2">
        <v>1221528.3700000001</v>
      </c>
      <c r="F13" s="2">
        <v>1309749.52</v>
      </c>
      <c r="G13" s="2">
        <v>339299.05</v>
      </c>
      <c r="H13" s="2">
        <v>337903.53</v>
      </c>
      <c r="I13" s="2">
        <v>354381.4</v>
      </c>
      <c r="J13" s="48">
        <v>761845.46</v>
      </c>
      <c r="K13" s="48">
        <v>870776.09</v>
      </c>
      <c r="L13" s="48">
        <v>953513.34</v>
      </c>
      <c r="P13" s="26"/>
    </row>
    <row r="14" spans="2:16" ht="18.600000000000001" customHeight="1" x14ac:dyDescent="0.25">
      <c r="B14" s="151">
        <v>12</v>
      </c>
      <c r="C14" s="47" t="s">
        <v>13</v>
      </c>
      <c r="D14" s="2">
        <v>4423777.7699999996</v>
      </c>
      <c r="E14" s="2">
        <v>4916077</v>
      </c>
      <c r="F14" s="2">
        <v>5382190</v>
      </c>
      <c r="G14" s="2">
        <v>1570366.23</v>
      </c>
      <c r="H14" s="2">
        <v>1671340</v>
      </c>
      <c r="I14" s="2">
        <v>1690573</v>
      </c>
      <c r="J14" s="48">
        <v>3199269.29</v>
      </c>
      <c r="K14" s="48">
        <v>3703971</v>
      </c>
      <c r="L14" s="48">
        <v>4163312</v>
      </c>
      <c r="P14" s="26"/>
    </row>
    <row r="15" spans="2:16" ht="18" customHeight="1" x14ac:dyDescent="0.25">
      <c r="B15" s="12"/>
      <c r="C15" s="3"/>
      <c r="D15" s="13"/>
      <c r="E15" s="13"/>
      <c r="F15" s="13"/>
      <c r="G15" s="13"/>
      <c r="H15" s="13"/>
      <c r="I15" s="13"/>
      <c r="J15" s="21"/>
      <c r="K15" s="21"/>
      <c r="L15" s="21"/>
    </row>
    <row r="16" spans="2:16" ht="18" customHeight="1" x14ac:dyDescent="0.25">
      <c r="B16" s="12"/>
      <c r="C16" s="3"/>
      <c r="D16" s="13"/>
      <c r="E16" s="13"/>
      <c r="F16" s="13"/>
      <c r="G16" s="13"/>
      <c r="H16" s="13"/>
      <c r="I16" s="13"/>
      <c r="J16" s="21"/>
      <c r="K16" s="21"/>
      <c r="L16" s="21"/>
    </row>
  </sheetData>
  <mergeCells count="3">
    <mergeCell ref="D1:F1"/>
    <mergeCell ref="J1:L1"/>
    <mergeCell ref="G1:I1"/>
  </mergeCells>
  <pageMargins left="0.59055118110236227" right="0.51181102362204722" top="0.59055118110236227" bottom="0.39370078740157483" header="0.31496062992125984" footer="0.31496062992125984"/>
  <pageSetup paperSize="9" scale="8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T16"/>
  <sheetViews>
    <sheetView zoomScaleNormal="100" zoomScaleSheetLayoutView="100" workbookViewId="0">
      <selection activeCell="C14" sqref="C14"/>
    </sheetView>
  </sheetViews>
  <sheetFormatPr defaultColWidth="9.28515625" defaultRowHeight="15.75" x14ac:dyDescent="0.25"/>
  <cols>
    <col min="1" max="1" width="9.28515625" style="14"/>
    <col min="2" max="2" width="8.5703125" style="14" customWidth="1"/>
    <col min="3" max="3" width="38.42578125" style="14" customWidth="1"/>
    <col min="4" max="4" width="11.42578125" style="14" customWidth="1"/>
    <col min="5" max="6" width="11.28515625" style="14" customWidth="1"/>
    <col min="7" max="7" width="10.42578125" style="14" customWidth="1"/>
    <col min="8" max="9" width="10.85546875" style="14" customWidth="1"/>
    <col min="10" max="10" width="10.42578125" style="14" customWidth="1"/>
    <col min="11" max="11" width="10.5703125" style="14" customWidth="1"/>
    <col min="12" max="12" width="11.28515625" style="14" customWidth="1"/>
    <col min="13" max="13" width="10.42578125" style="14" customWidth="1"/>
    <col min="14" max="15" width="10.5703125" style="14" customWidth="1"/>
    <col min="16" max="16" width="10.42578125" style="14" customWidth="1"/>
    <col min="17" max="17" width="9.7109375" style="14" hidden="1" customWidth="1"/>
    <col min="18" max="18" width="9.5703125" style="14" bestFit="1" customWidth="1"/>
    <col min="19" max="16384" width="9.28515625" style="14"/>
  </cols>
  <sheetData>
    <row r="1" spans="2:20" s="28" customFormat="1" ht="28.9" customHeight="1" x14ac:dyDescent="0.25">
      <c r="B1" s="50" t="s">
        <v>43</v>
      </c>
      <c r="C1" s="46" t="s">
        <v>14</v>
      </c>
      <c r="D1" s="132" t="s">
        <v>22</v>
      </c>
      <c r="E1" s="132"/>
      <c r="F1" s="132"/>
      <c r="G1" s="132" t="s">
        <v>23</v>
      </c>
      <c r="H1" s="132"/>
      <c r="I1" s="132"/>
      <c r="J1" s="132" t="s">
        <v>24</v>
      </c>
      <c r="K1" s="132"/>
      <c r="L1" s="133"/>
    </row>
    <row r="2" spans="2:20" ht="18" customHeight="1" thickBot="1" x14ac:dyDescent="0.3">
      <c r="B2" s="22" t="s">
        <v>1</v>
      </c>
      <c r="C2" s="65" t="s">
        <v>2</v>
      </c>
      <c r="D2" s="1">
        <v>2023</v>
      </c>
      <c r="E2" s="1">
        <v>2024</v>
      </c>
      <c r="F2" s="1">
        <v>2025</v>
      </c>
      <c r="G2" s="1">
        <v>2023</v>
      </c>
      <c r="H2" s="1">
        <v>2024</v>
      </c>
      <c r="I2" s="1">
        <v>2025</v>
      </c>
      <c r="J2" s="1">
        <v>2023</v>
      </c>
      <c r="K2" s="1">
        <v>2024</v>
      </c>
      <c r="L2" s="7">
        <v>2025</v>
      </c>
      <c r="M2" s="20"/>
      <c r="N2" s="20"/>
      <c r="O2" s="20"/>
      <c r="P2" s="20"/>
      <c r="Q2" s="20"/>
      <c r="R2" s="20"/>
      <c r="S2" s="20"/>
      <c r="T2" s="20"/>
    </row>
    <row r="3" spans="2:20" ht="19.149999999999999" customHeight="1" x14ac:dyDescent="0.25">
      <c r="B3" s="62">
        <v>1</v>
      </c>
      <c r="C3" s="70" t="s">
        <v>3</v>
      </c>
      <c r="D3" s="8">
        <v>1458561.54</v>
      </c>
      <c r="E3" s="8">
        <v>1585797.09</v>
      </c>
      <c r="F3" s="8">
        <v>1781247.32</v>
      </c>
      <c r="G3" s="8">
        <v>36763.68</v>
      </c>
      <c r="H3" s="8">
        <v>31833.63</v>
      </c>
      <c r="I3" s="8">
        <v>27834.880000000001</v>
      </c>
      <c r="J3" s="64">
        <v>8384.32</v>
      </c>
      <c r="K3" s="64">
        <v>7213.34</v>
      </c>
      <c r="L3" s="37">
        <v>6994.24</v>
      </c>
      <c r="M3" s="26"/>
      <c r="N3" s="19"/>
      <c r="O3" s="19"/>
      <c r="P3" s="19"/>
      <c r="Q3" s="19"/>
      <c r="R3" s="19"/>
      <c r="S3" s="19"/>
      <c r="T3" s="19"/>
    </row>
    <row r="4" spans="2:20" ht="19.149999999999999" customHeight="1" x14ac:dyDescent="0.25">
      <c r="B4" s="51">
        <v>2</v>
      </c>
      <c r="C4" s="49" t="s">
        <v>4</v>
      </c>
      <c r="D4" s="2">
        <v>815556</v>
      </c>
      <c r="E4" s="2">
        <v>912597.92</v>
      </c>
      <c r="F4" s="2">
        <v>1042581.95</v>
      </c>
      <c r="G4" s="2">
        <v>37685.56</v>
      </c>
      <c r="H4" s="2">
        <v>29182.77</v>
      </c>
      <c r="I4" s="2">
        <v>21748.89</v>
      </c>
      <c r="J4" s="48">
        <v>8053.61</v>
      </c>
      <c r="K4" s="48">
        <v>6845.25</v>
      </c>
      <c r="L4" s="41">
        <v>5358.49</v>
      </c>
      <c r="M4" s="26"/>
      <c r="N4" s="19"/>
      <c r="O4" s="19"/>
      <c r="P4" s="19"/>
      <c r="Q4" s="19"/>
      <c r="R4" s="19"/>
      <c r="S4" s="19"/>
      <c r="T4" s="19"/>
    </row>
    <row r="5" spans="2:20" ht="19.149999999999999" customHeight="1" x14ac:dyDescent="0.25">
      <c r="B5" s="51">
        <v>3</v>
      </c>
      <c r="C5" s="49" t="s">
        <v>5</v>
      </c>
      <c r="D5" s="2">
        <v>267651.39</v>
      </c>
      <c r="E5" s="2">
        <v>307137.86</v>
      </c>
      <c r="F5" s="2">
        <v>369142.15</v>
      </c>
      <c r="G5" s="2">
        <v>4334</v>
      </c>
      <c r="H5" s="2">
        <v>3833.05</v>
      </c>
      <c r="I5" s="2">
        <v>4184.5200000000004</v>
      </c>
      <c r="J5" s="48">
        <v>435.18</v>
      </c>
      <c r="K5" s="48">
        <v>408.99</v>
      </c>
      <c r="L5" s="41">
        <v>431.78</v>
      </c>
      <c r="M5" s="26"/>
      <c r="N5" s="19"/>
      <c r="O5" s="19"/>
      <c r="P5" s="19"/>
      <c r="Q5" s="19"/>
      <c r="R5" s="19"/>
      <c r="S5" s="19"/>
      <c r="T5" s="19"/>
    </row>
    <row r="6" spans="2:20" ht="19.149999999999999" customHeight="1" x14ac:dyDescent="0.25">
      <c r="B6" s="51">
        <v>4</v>
      </c>
      <c r="C6" s="49" t="s">
        <v>6</v>
      </c>
      <c r="D6" s="2">
        <v>1345732.25</v>
      </c>
      <c r="E6" s="2">
        <v>1491540.72</v>
      </c>
      <c r="F6" s="2">
        <v>1682849.6</v>
      </c>
      <c r="G6" s="2">
        <v>46159.51</v>
      </c>
      <c r="H6" s="2">
        <v>40604.57</v>
      </c>
      <c r="I6" s="2">
        <v>31530.03</v>
      </c>
      <c r="J6" s="48">
        <v>14349.33</v>
      </c>
      <c r="K6" s="48">
        <v>11822.83</v>
      </c>
      <c r="L6" s="41">
        <v>7353.31</v>
      </c>
      <c r="M6" s="26"/>
      <c r="N6" s="19"/>
      <c r="O6" s="19"/>
      <c r="P6" s="19"/>
      <c r="Q6" s="19"/>
      <c r="R6" s="19"/>
      <c r="S6" s="19"/>
      <c r="T6" s="19"/>
    </row>
    <row r="7" spans="2:20" ht="19.149999999999999" customHeight="1" x14ac:dyDescent="0.25">
      <c r="B7" s="51">
        <v>5</v>
      </c>
      <c r="C7" s="49" t="s">
        <v>7</v>
      </c>
      <c r="D7" s="2">
        <v>406165.49</v>
      </c>
      <c r="E7" s="2">
        <v>446672.69</v>
      </c>
      <c r="F7" s="2">
        <v>479128.13</v>
      </c>
      <c r="G7" s="91">
        <v>18436.48</v>
      </c>
      <c r="H7" s="2">
        <v>11340.34</v>
      </c>
      <c r="I7" s="2">
        <v>9224.7800000000007</v>
      </c>
      <c r="J7" s="92">
        <v>3627.22</v>
      </c>
      <c r="K7" s="48">
        <v>3001.95</v>
      </c>
      <c r="L7" s="41">
        <v>1543.26</v>
      </c>
      <c r="M7" s="26"/>
      <c r="N7" s="19"/>
      <c r="O7" s="19"/>
      <c r="P7" s="19"/>
      <c r="Q7" s="19"/>
      <c r="R7" s="19"/>
      <c r="S7" s="19"/>
      <c r="T7" s="19"/>
    </row>
    <row r="8" spans="2:20" ht="19.149999999999999" customHeight="1" x14ac:dyDescent="0.25">
      <c r="B8" s="51">
        <v>6</v>
      </c>
      <c r="C8" s="49" t="s">
        <v>8</v>
      </c>
      <c r="D8" s="2">
        <v>710500.73</v>
      </c>
      <c r="E8" s="2">
        <v>792619.12269999995</v>
      </c>
      <c r="F8" s="2">
        <v>873410.66</v>
      </c>
      <c r="G8" s="2">
        <v>28179.53</v>
      </c>
      <c r="H8" s="2">
        <v>21106.31</v>
      </c>
      <c r="I8" s="2">
        <v>18178.86</v>
      </c>
      <c r="J8" s="48">
        <v>4043.07</v>
      </c>
      <c r="K8" s="48">
        <v>2222.58</v>
      </c>
      <c r="L8" s="41">
        <v>1109.56</v>
      </c>
      <c r="M8" s="26"/>
      <c r="N8" s="19"/>
      <c r="O8" s="19"/>
      <c r="P8" s="19"/>
      <c r="Q8" s="19"/>
      <c r="R8" s="19"/>
      <c r="S8" s="19"/>
      <c r="T8" s="19"/>
    </row>
    <row r="9" spans="2:20" ht="19.149999999999999" customHeight="1" x14ac:dyDescent="0.25">
      <c r="B9" s="51">
        <v>7</v>
      </c>
      <c r="C9" s="49" t="s">
        <v>9</v>
      </c>
      <c r="D9" s="2">
        <v>313745.82</v>
      </c>
      <c r="E9" s="2">
        <v>352033.62</v>
      </c>
      <c r="F9" s="2">
        <v>395014.94</v>
      </c>
      <c r="G9" s="2">
        <v>14071.55</v>
      </c>
      <c r="H9" s="2">
        <v>6794.43</v>
      </c>
      <c r="I9" s="2">
        <v>5347.72</v>
      </c>
      <c r="J9" s="48">
        <v>3266.01</v>
      </c>
      <c r="K9" s="48">
        <v>1216.8599999999999</v>
      </c>
      <c r="L9" s="41">
        <v>911.86</v>
      </c>
      <c r="M9" s="26"/>
      <c r="N9" s="19"/>
      <c r="O9" s="19"/>
      <c r="P9" s="19"/>
      <c r="Q9" s="19"/>
      <c r="R9" s="19"/>
      <c r="S9" s="19"/>
      <c r="T9" s="19"/>
    </row>
    <row r="10" spans="2:20" ht="19.149999999999999" customHeight="1" x14ac:dyDescent="0.25">
      <c r="B10" s="51">
        <v>8</v>
      </c>
      <c r="C10" s="49" t="s">
        <v>18</v>
      </c>
      <c r="D10" s="2">
        <v>136454.51999999999</v>
      </c>
      <c r="E10" s="2">
        <v>147656.53</v>
      </c>
      <c r="F10" s="2">
        <v>161815.17000000001</v>
      </c>
      <c r="G10" s="2">
        <v>5648.21</v>
      </c>
      <c r="H10" s="2">
        <v>4665.3500000000004</v>
      </c>
      <c r="I10" s="2">
        <v>3370.6</v>
      </c>
      <c r="J10" s="48">
        <v>1411.5</v>
      </c>
      <c r="K10" s="48">
        <v>1350.46</v>
      </c>
      <c r="L10" s="41">
        <v>937.07</v>
      </c>
      <c r="M10" s="26"/>
      <c r="N10" s="19"/>
      <c r="O10" s="19"/>
      <c r="P10" s="19"/>
      <c r="Q10" s="19"/>
      <c r="R10" s="19"/>
      <c r="S10" s="19"/>
      <c r="T10" s="19"/>
    </row>
    <row r="11" spans="2:20" ht="19.149999999999999" customHeight="1" x14ac:dyDescent="0.25">
      <c r="B11" s="51">
        <v>9</v>
      </c>
      <c r="C11" s="49" t="s">
        <v>10</v>
      </c>
      <c r="D11" s="2">
        <v>1461831.36</v>
      </c>
      <c r="E11" s="2">
        <v>1561835.01</v>
      </c>
      <c r="F11" s="2">
        <v>1818170.73</v>
      </c>
      <c r="G11" s="2">
        <v>77327.67</v>
      </c>
      <c r="H11" s="2">
        <v>56343.05</v>
      </c>
      <c r="I11" s="2">
        <v>44081.599999999999</v>
      </c>
      <c r="J11" s="48">
        <v>22585.040000000001</v>
      </c>
      <c r="K11" s="48">
        <v>6798.77</v>
      </c>
      <c r="L11" s="41">
        <v>4290.55</v>
      </c>
      <c r="M11" s="26"/>
      <c r="N11" s="19"/>
      <c r="O11" s="19"/>
      <c r="P11" s="19"/>
      <c r="Q11" s="19"/>
      <c r="R11" s="19"/>
      <c r="S11" s="19"/>
      <c r="T11" s="19"/>
    </row>
    <row r="12" spans="2:20" ht="19.149999999999999" customHeight="1" x14ac:dyDescent="0.25">
      <c r="B12" s="51">
        <v>10</v>
      </c>
      <c r="C12" s="49" t="s">
        <v>11</v>
      </c>
      <c r="D12" s="2">
        <v>300862.99</v>
      </c>
      <c r="E12" s="2">
        <v>323691.45</v>
      </c>
      <c r="F12" s="2">
        <v>362481.08</v>
      </c>
      <c r="G12" s="2">
        <v>7726.46</v>
      </c>
      <c r="H12" s="2">
        <v>6463.3</v>
      </c>
      <c r="I12" s="2">
        <v>5918.54</v>
      </c>
      <c r="J12" s="48">
        <v>2018.02</v>
      </c>
      <c r="K12" s="48">
        <v>1621.64</v>
      </c>
      <c r="L12" s="41">
        <v>1068.0999999999999</v>
      </c>
      <c r="M12" s="26"/>
      <c r="N12" s="19"/>
      <c r="O12" s="19"/>
      <c r="P12" s="19"/>
      <c r="Q12" s="19"/>
      <c r="R12" s="19"/>
      <c r="S12" s="19"/>
      <c r="T12" s="19"/>
    </row>
    <row r="13" spans="2:20" ht="19.149999999999999" customHeight="1" thickBot="1" x14ac:dyDescent="0.3">
      <c r="B13" s="52">
        <v>11</v>
      </c>
      <c r="C13" s="67" t="s">
        <v>12</v>
      </c>
      <c r="D13" s="36">
        <v>1280752.45</v>
      </c>
      <c r="E13" s="36">
        <v>1391957.62</v>
      </c>
      <c r="F13" s="36">
        <v>1499855.71</v>
      </c>
      <c r="G13" s="36">
        <v>60987.29</v>
      </c>
      <c r="H13" s="36">
        <v>43097.73</v>
      </c>
      <c r="I13" s="36">
        <v>35350.379999999997</v>
      </c>
      <c r="J13" s="68">
        <v>12927.44</v>
      </c>
      <c r="K13" s="68">
        <v>8989.92</v>
      </c>
      <c r="L13" s="90">
        <v>5969.29</v>
      </c>
      <c r="M13" s="26"/>
      <c r="N13" s="19"/>
      <c r="O13" s="19"/>
      <c r="P13" s="19"/>
      <c r="Q13" s="19"/>
      <c r="R13" s="19"/>
      <c r="S13" s="19"/>
      <c r="T13" s="19"/>
    </row>
    <row r="14" spans="2:20" ht="19.149999999999999" customHeight="1" thickBot="1" x14ac:dyDescent="0.3">
      <c r="B14" s="95">
        <v>12</v>
      </c>
      <c r="C14" s="96" t="s">
        <v>13</v>
      </c>
      <c r="D14" s="97">
        <v>5516978.5300000003</v>
      </c>
      <c r="E14" s="97">
        <v>6179694</v>
      </c>
      <c r="F14" s="97">
        <v>6676053</v>
      </c>
      <c r="G14" s="98">
        <v>90927.78</v>
      </c>
      <c r="H14" s="98">
        <v>84276</v>
      </c>
      <c r="I14" s="98">
        <v>76880</v>
      </c>
      <c r="J14" s="98">
        <v>21466.639999999999</v>
      </c>
      <c r="K14" s="98">
        <v>21051</v>
      </c>
      <c r="L14" s="99">
        <v>19667</v>
      </c>
      <c r="M14" s="26"/>
      <c r="N14" s="19"/>
      <c r="O14" s="19"/>
      <c r="P14" s="19"/>
      <c r="Q14" s="19"/>
      <c r="R14" s="19"/>
      <c r="S14" s="19"/>
      <c r="T14" s="19"/>
    </row>
    <row r="15" spans="2:20" ht="18" customHeight="1" x14ac:dyDescent="0.25">
      <c r="B15" s="10"/>
    </row>
    <row r="16" spans="2:20" ht="18" customHeight="1" x14ac:dyDescent="0.25">
      <c r="B16" s="10"/>
    </row>
  </sheetData>
  <mergeCells count="3">
    <mergeCell ref="D1:F1"/>
    <mergeCell ref="J1:L1"/>
    <mergeCell ref="G1:I1"/>
  </mergeCells>
  <pageMargins left="0.23622047244094491" right="3.937007874015748E-2" top="0.74803149606299213" bottom="0.74803149606299213" header="0.31496062992125984" footer="0.31496062992125984"/>
  <pageSetup paperSize="9" scale="9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C1:M18"/>
  <sheetViews>
    <sheetView topLeftCell="B1" zoomScaleNormal="100" zoomScaleSheetLayoutView="80" workbookViewId="0">
      <selection activeCell="D14" sqref="D14"/>
    </sheetView>
  </sheetViews>
  <sheetFormatPr defaultColWidth="9.28515625" defaultRowHeight="15" x14ac:dyDescent="0.25"/>
  <cols>
    <col min="1" max="2" width="9.28515625" style="4"/>
    <col min="3" max="3" width="8.28515625" style="4" customWidth="1"/>
    <col min="4" max="4" width="38.28515625" style="4" customWidth="1"/>
    <col min="5" max="5" width="11.7109375" style="4" customWidth="1"/>
    <col min="6" max="7" width="11.140625" style="4" customWidth="1"/>
    <col min="8" max="8" width="10.5703125" style="4" customWidth="1"/>
    <col min="9" max="10" width="10.7109375" style="4" customWidth="1"/>
    <col min="11" max="11" width="10.5703125" style="4" customWidth="1"/>
    <col min="12" max="12" width="11.7109375" style="4" customWidth="1"/>
    <col min="13" max="13" width="10.7109375" style="4" customWidth="1"/>
    <col min="14" max="16384" width="9.28515625" style="4"/>
  </cols>
  <sheetData>
    <row r="1" spans="3:13" s="28" customFormat="1" ht="30.6" customHeight="1" x14ac:dyDescent="0.25">
      <c r="C1" s="50" t="s">
        <v>43</v>
      </c>
      <c r="D1" s="46" t="s">
        <v>14</v>
      </c>
      <c r="E1" s="132" t="s">
        <v>25</v>
      </c>
      <c r="F1" s="132"/>
      <c r="G1" s="132"/>
      <c r="H1" s="130" t="s">
        <v>26</v>
      </c>
      <c r="I1" s="130"/>
      <c r="J1" s="130"/>
      <c r="K1" s="132" t="s">
        <v>27</v>
      </c>
      <c r="L1" s="132"/>
      <c r="M1" s="133"/>
    </row>
    <row r="2" spans="3:13" ht="18.75" customHeight="1" thickBot="1" x14ac:dyDescent="0.3">
      <c r="C2" s="22" t="s">
        <v>1</v>
      </c>
      <c r="D2" s="65" t="s">
        <v>2</v>
      </c>
      <c r="E2" s="1">
        <v>2023</v>
      </c>
      <c r="F2" s="1">
        <v>2024</v>
      </c>
      <c r="G2" s="1">
        <v>2025</v>
      </c>
      <c r="H2" s="1">
        <v>2023</v>
      </c>
      <c r="I2" s="1">
        <v>2024</v>
      </c>
      <c r="J2" s="1">
        <v>2025</v>
      </c>
      <c r="K2" s="1">
        <v>2023</v>
      </c>
      <c r="L2" s="1">
        <v>2024</v>
      </c>
      <c r="M2" s="7">
        <v>2025</v>
      </c>
    </row>
    <row r="3" spans="3:13" ht="18" customHeight="1" x14ac:dyDescent="0.25">
      <c r="C3" s="62">
        <v>1</v>
      </c>
      <c r="D3" s="70" t="s">
        <v>3</v>
      </c>
      <c r="E3" s="8">
        <v>89588.54</v>
      </c>
      <c r="F3" s="8">
        <v>112605.94</v>
      </c>
      <c r="G3" s="8">
        <v>121441.64</v>
      </c>
      <c r="H3" s="8">
        <v>10025.84</v>
      </c>
      <c r="I3" s="8">
        <v>14495.37</v>
      </c>
      <c r="J3" s="8">
        <v>16647.330000000002</v>
      </c>
      <c r="K3" s="8">
        <f t="shared" ref="K3:K13" si="0">E3+H3</f>
        <v>99614.37999999999</v>
      </c>
      <c r="L3" s="8">
        <f t="shared" ref="L3:L13" si="1">F3+I3</f>
        <v>127101.31</v>
      </c>
      <c r="M3" s="41">
        <f>G3+J3</f>
        <v>138088.97</v>
      </c>
    </row>
    <row r="4" spans="3:13" ht="18" customHeight="1" x14ac:dyDescent="0.25">
      <c r="C4" s="51">
        <v>2</v>
      </c>
      <c r="D4" s="47" t="s">
        <v>4</v>
      </c>
      <c r="E4" s="2">
        <v>47647.72</v>
      </c>
      <c r="F4" s="2">
        <v>60709.49</v>
      </c>
      <c r="G4" s="2">
        <v>70826.3</v>
      </c>
      <c r="H4" s="2">
        <v>7099.89</v>
      </c>
      <c r="I4" s="2">
        <v>6094.85</v>
      </c>
      <c r="J4" s="2">
        <v>8993.6200000000008</v>
      </c>
      <c r="K4" s="2">
        <f t="shared" si="0"/>
        <v>54747.61</v>
      </c>
      <c r="L4" s="2">
        <f t="shared" si="1"/>
        <v>66804.34</v>
      </c>
      <c r="M4" s="41">
        <f>G4+J4</f>
        <v>79819.92</v>
      </c>
    </row>
    <row r="5" spans="3:13" ht="18" customHeight="1" x14ac:dyDescent="0.25">
      <c r="C5" s="51">
        <v>3</v>
      </c>
      <c r="D5" s="49" t="s">
        <v>5</v>
      </c>
      <c r="E5" s="2">
        <v>15898.46</v>
      </c>
      <c r="F5" s="2">
        <v>20494.689999999999</v>
      </c>
      <c r="G5" s="2">
        <v>24947.45</v>
      </c>
      <c r="H5" s="2">
        <v>2280.27</v>
      </c>
      <c r="I5" s="2">
        <v>2997.87</v>
      </c>
      <c r="J5" s="2">
        <v>3454.17</v>
      </c>
      <c r="K5" s="2">
        <f t="shared" si="0"/>
        <v>18178.73</v>
      </c>
      <c r="L5" s="2">
        <f t="shared" si="1"/>
        <v>23492.559999999998</v>
      </c>
      <c r="M5" s="41">
        <f t="shared" ref="M5:M13" si="2">G5+J5</f>
        <v>28401.620000000003</v>
      </c>
    </row>
    <row r="6" spans="3:13" ht="18" customHeight="1" x14ac:dyDescent="0.25">
      <c r="C6" s="51">
        <v>4</v>
      </c>
      <c r="D6" s="49" t="s">
        <v>6</v>
      </c>
      <c r="E6" s="2">
        <v>84424.78</v>
      </c>
      <c r="F6" s="2">
        <v>108687.93</v>
      </c>
      <c r="G6" s="2">
        <v>119755.07</v>
      </c>
      <c r="H6" s="2">
        <v>18762.2</v>
      </c>
      <c r="I6" s="2">
        <v>18966.439999999999</v>
      </c>
      <c r="J6" s="2">
        <v>22452.799999999999</v>
      </c>
      <c r="K6" s="2">
        <f t="shared" si="0"/>
        <v>103186.98</v>
      </c>
      <c r="L6" s="2">
        <f t="shared" si="1"/>
        <v>127654.37</v>
      </c>
      <c r="M6" s="41">
        <f t="shared" si="2"/>
        <v>142207.87</v>
      </c>
    </row>
    <row r="7" spans="3:13" ht="18" customHeight="1" x14ac:dyDescent="0.25">
      <c r="C7" s="51">
        <v>5</v>
      </c>
      <c r="D7" s="49" t="s">
        <v>7</v>
      </c>
      <c r="E7" s="2">
        <v>25541.89</v>
      </c>
      <c r="F7" s="2">
        <v>30722.23</v>
      </c>
      <c r="G7" s="2">
        <v>33665.85</v>
      </c>
      <c r="H7" s="2">
        <v>4083.71</v>
      </c>
      <c r="I7" s="2">
        <v>4711.28</v>
      </c>
      <c r="J7" s="2">
        <v>5854.59</v>
      </c>
      <c r="K7" s="2">
        <f t="shared" si="0"/>
        <v>29625.599999999999</v>
      </c>
      <c r="L7" s="2">
        <f t="shared" si="1"/>
        <v>35433.51</v>
      </c>
      <c r="M7" s="41">
        <f t="shared" si="2"/>
        <v>39520.44</v>
      </c>
    </row>
    <row r="8" spans="3:13" ht="18" customHeight="1" x14ac:dyDescent="0.25">
      <c r="C8" s="51">
        <v>6</v>
      </c>
      <c r="D8" s="49" t="s">
        <v>8</v>
      </c>
      <c r="E8" s="2">
        <v>44942.21</v>
      </c>
      <c r="F8" s="2">
        <v>55614.78</v>
      </c>
      <c r="G8" s="2">
        <v>62002.16</v>
      </c>
      <c r="H8" s="2">
        <v>7143.06</v>
      </c>
      <c r="I8" s="2">
        <v>7866.72</v>
      </c>
      <c r="J8" s="2">
        <v>9223.48</v>
      </c>
      <c r="K8" s="2">
        <f t="shared" si="0"/>
        <v>52085.27</v>
      </c>
      <c r="L8" s="2">
        <f t="shared" si="1"/>
        <v>63481.5</v>
      </c>
      <c r="M8" s="41">
        <f t="shared" si="2"/>
        <v>71225.64</v>
      </c>
    </row>
    <row r="9" spans="3:13" ht="18" customHeight="1" x14ac:dyDescent="0.25">
      <c r="C9" s="51">
        <v>7</v>
      </c>
      <c r="D9" s="49" t="s">
        <v>9</v>
      </c>
      <c r="E9" s="2">
        <v>19400.330000000002</v>
      </c>
      <c r="F9" s="2">
        <v>24049.73</v>
      </c>
      <c r="G9" s="2">
        <v>28131.01</v>
      </c>
      <c r="H9" s="2">
        <v>4108.75</v>
      </c>
      <c r="I9" s="2">
        <v>5656.26</v>
      </c>
      <c r="J9" s="2">
        <v>5545.07</v>
      </c>
      <c r="K9" s="2">
        <f t="shared" si="0"/>
        <v>23509.08</v>
      </c>
      <c r="L9" s="2">
        <f t="shared" si="1"/>
        <v>29705.989999999998</v>
      </c>
      <c r="M9" s="41">
        <f t="shared" si="2"/>
        <v>33676.080000000002</v>
      </c>
    </row>
    <row r="10" spans="3:13" ht="18" customHeight="1" x14ac:dyDescent="0.25">
      <c r="C10" s="51">
        <v>8</v>
      </c>
      <c r="D10" s="49" t="s">
        <v>18</v>
      </c>
      <c r="E10" s="2">
        <v>7992.73</v>
      </c>
      <c r="F10" s="2">
        <v>9693.98</v>
      </c>
      <c r="G10" s="2">
        <v>11481.3</v>
      </c>
      <c r="H10" s="2">
        <v>939.96</v>
      </c>
      <c r="I10" s="2">
        <v>1221.47</v>
      </c>
      <c r="J10" s="2">
        <v>1567.65</v>
      </c>
      <c r="K10" s="2">
        <f t="shared" si="0"/>
        <v>8932.6899999999987</v>
      </c>
      <c r="L10" s="2">
        <f t="shared" si="1"/>
        <v>10915.449999999999</v>
      </c>
      <c r="M10" s="41">
        <f t="shared" si="2"/>
        <v>13048.949999999999</v>
      </c>
    </row>
    <row r="11" spans="3:13" ht="18" customHeight="1" x14ac:dyDescent="0.25">
      <c r="C11" s="51">
        <v>9</v>
      </c>
      <c r="D11" s="49" t="s">
        <v>10</v>
      </c>
      <c r="E11" s="2">
        <v>85144.11</v>
      </c>
      <c r="F11" s="2">
        <v>106901.62</v>
      </c>
      <c r="G11" s="2">
        <v>121760.73</v>
      </c>
      <c r="H11" s="2">
        <v>12142.53</v>
      </c>
      <c r="I11" s="2">
        <v>13383.54</v>
      </c>
      <c r="J11" s="2">
        <v>16309.37</v>
      </c>
      <c r="K11" s="2">
        <f t="shared" si="0"/>
        <v>97286.64</v>
      </c>
      <c r="L11" s="2">
        <f t="shared" si="1"/>
        <v>120285.16</v>
      </c>
      <c r="M11" s="41">
        <f t="shared" si="2"/>
        <v>138070.1</v>
      </c>
    </row>
    <row r="12" spans="3:13" ht="18" customHeight="1" x14ac:dyDescent="0.25">
      <c r="C12" s="51">
        <v>10</v>
      </c>
      <c r="D12" s="49" t="s">
        <v>11</v>
      </c>
      <c r="E12" s="2">
        <v>17650.52</v>
      </c>
      <c r="F12" s="2">
        <v>21854.34</v>
      </c>
      <c r="G12" s="2">
        <v>25066.9</v>
      </c>
      <c r="H12" s="2">
        <v>2508.46</v>
      </c>
      <c r="I12" s="2">
        <v>3265.53</v>
      </c>
      <c r="J12" s="2">
        <v>4406.63</v>
      </c>
      <c r="K12" s="2">
        <f t="shared" si="0"/>
        <v>20158.98</v>
      </c>
      <c r="L12" s="2">
        <f t="shared" si="1"/>
        <v>25119.87</v>
      </c>
      <c r="M12" s="41">
        <f t="shared" si="2"/>
        <v>29473.530000000002</v>
      </c>
    </row>
    <row r="13" spans="3:13" ht="18" customHeight="1" x14ac:dyDescent="0.25">
      <c r="C13" s="53">
        <v>11</v>
      </c>
      <c r="D13" s="54" t="s">
        <v>12</v>
      </c>
      <c r="E13" s="9">
        <v>80743.34</v>
      </c>
      <c r="F13" s="9">
        <v>99777.96</v>
      </c>
      <c r="G13" s="9">
        <v>107725.97</v>
      </c>
      <c r="H13" s="9">
        <v>14633.15</v>
      </c>
      <c r="I13" s="9">
        <v>16080.19</v>
      </c>
      <c r="J13" s="9">
        <v>19812.919999999998</v>
      </c>
      <c r="K13" s="9">
        <f t="shared" si="0"/>
        <v>95376.489999999991</v>
      </c>
      <c r="L13" s="9">
        <f t="shared" si="1"/>
        <v>115858.15000000001</v>
      </c>
      <c r="M13" s="42">
        <f t="shared" si="2"/>
        <v>127538.89</v>
      </c>
    </row>
    <row r="14" spans="3:13" s="6" customFormat="1" ht="18" customHeight="1" x14ac:dyDescent="0.25">
      <c r="C14" s="57">
        <v>12</v>
      </c>
      <c r="D14" s="74" t="s">
        <v>13</v>
      </c>
      <c r="E14" s="59">
        <v>332103.06</v>
      </c>
      <c r="F14" s="59">
        <v>415131</v>
      </c>
      <c r="G14" s="59">
        <v>462489</v>
      </c>
      <c r="H14" s="31">
        <v>36615.589999999997</v>
      </c>
      <c r="I14" s="31">
        <v>51682</v>
      </c>
      <c r="J14" s="31">
        <v>61683</v>
      </c>
      <c r="K14" s="59">
        <f>E14+H14</f>
        <v>368718.65</v>
      </c>
      <c r="L14" s="59">
        <f>F14+I14</f>
        <v>466813</v>
      </c>
      <c r="M14" s="43">
        <f>G14+J14</f>
        <v>524172</v>
      </c>
    </row>
    <row r="15" spans="3:13" ht="17.25" customHeight="1" x14ac:dyDescent="0.25">
      <c r="C15" s="10"/>
      <c r="D15" s="3"/>
    </row>
    <row r="16" spans="3:13" ht="17.25" customHeight="1" x14ac:dyDescent="0.25">
      <c r="C16" s="10"/>
      <c r="D16" s="3"/>
    </row>
    <row r="17" ht="17.45" customHeight="1" x14ac:dyDescent="0.25"/>
    <row r="18" ht="17.45" customHeight="1" x14ac:dyDescent="0.25"/>
  </sheetData>
  <mergeCells count="3">
    <mergeCell ref="K1:M1"/>
    <mergeCell ref="H1:J1"/>
    <mergeCell ref="E1:G1"/>
  </mergeCells>
  <pageMargins left="0.25" right="0.25" top="0.75" bottom="0.75" header="0.3" footer="0.3"/>
  <pageSetup scale="9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L18"/>
  <sheetViews>
    <sheetView zoomScaleNormal="100" zoomScaleSheetLayoutView="100" workbookViewId="0">
      <selection activeCell="C18" sqref="C18"/>
    </sheetView>
  </sheetViews>
  <sheetFormatPr defaultColWidth="9.28515625" defaultRowHeight="15.75" x14ac:dyDescent="0.25"/>
  <cols>
    <col min="1" max="1" width="11.42578125" style="14" customWidth="1"/>
    <col min="2" max="2" width="7" style="14" customWidth="1"/>
    <col min="3" max="3" width="37.42578125" style="14" customWidth="1"/>
    <col min="4" max="7" width="11.28515625" style="14" customWidth="1"/>
    <col min="8" max="11" width="11" style="14" customWidth="1"/>
    <col min="12" max="12" width="11.5703125" style="14" customWidth="1"/>
    <col min="13" max="16384" width="9.28515625" style="14"/>
  </cols>
  <sheetData>
    <row r="1" spans="2:12" s="28" customFormat="1" ht="32.450000000000003" customHeight="1" x14ac:dyDescent="0.25">
      <c r="B1" s="50" t="s">
        <v>43</v>
      </c>
      <c r="C1" s="46" t="s">
        <v>14</v>
      </c>
      <c r="D1" s="132" t="s">
        <v>28</v>
      </c>
      <c r="E1" s="132"/>
      <c r="F1" s="132"/>
      <c r="G1" s="130" t="s">
        <v>29</v>
      </c>
      <c r="H1" s="130"/>
      <c r="I1" s="130"/>
      <c r="J1" s="130" t="s">
        <v>30</v>
      </c>
      <c r="K1" s="130"/>
      <c r="L1" s="131"/>
    </row>
    <row r="2" spans="2:12" ht="18" customHeight="1" thickBot="1" x14ac:dyDescent="0.3">
      <c r="B2" s="22" t="s">
        <v>1</v>
      </c>
      <c r="C2" s="65" t="s">
        <v>2</v>
      </c>
      <c r="D2" s="1">
        <v>2023</v>
      </c>
      <c r="E2" s="1">
        <v>2024</v>
      </c>
      <c r="F2" s="1">
        <v>2025</v>
      </c>
      <c r="G2" s="1">
        <v>2023</v>
      </c>
      <c r="H2" s="1">
        <v>2024</v>
      </c>
      <c r="I2" s="1">
        <v>2025</v>
      </c>
      <c r="J2" s="1">
        <v>2023</v>
      </c>
      <c r="K2" s="1">
        <v>2024</v>
      </c>
      <c r="L2" s="7">
        <v>2025</v>
      </c>
    </row>
    <row r="3" spans="2:12" ht="18" customHeight="1" x14ac:dyDescent="0.25">
      <c r="B3" s="62">
        <v>1</v>
      </c>
      <c r="C3" s="70" t="s">
        <v>3</v>
      </c>
      <c r="D3" s="8">
        <v>48232.53</v>
      </c>
      <c r="E3" s="8">
        <v>67884.41</v>
      </c>
      <c r="F3" s="8">
        <v>75782.960000000006</v>
      </c>
      <c r="G3" s="8">
        <v>24518.31</v>
      </c>
      <c r="H3" s="8">
        <v>28251.68</v>
      </c>
      <c r="I3" s="8">
        <v>29871.38</v>
      </c>
      <c r="J3" s="64">
        <f t="shared" ref="J3:J13" si="0">D3+G3</f>
        <v>72750.84</v>
      </c>
      <c r="K3" s="64">
        <f t="shared" ref="K3:K13" si="1">E3+H3</f>
        <v>96136.09</v>
      </c>
      <c r="L3" s="41">
        <f>F3+I3</f>
        <v>105654.34000000001</v>
      </c>
    </row>
    <row r="4" spans="2:12" ht="18" customHeight="1" x14ac:dyDescent="0.25">
      <c r="B4" s="51">
        <v>2</v>
      </c>
      <c r="C4" s="49" t="s">
        <v>4</v>
      </c>
      <c r="D4" s="2">
        <v>27372.82</v>
      </c>
      <c r="E4" s="2">
        <v>37656.57</v>
      </c>
      <c r="F4" s="2">
        <v>46432.35</v>
      </c>
      <c r="G4" s="2">
        <v>13982.17</v>
      </c>
      <c r="H4" s="2">
        <v>15079.16</v>
      </c>
      <c r="I4" s="2">
        <v>16975.46</v>
      </c>
      <c r="J4" s="48">
        <f t="shared" si="0"/>
        <v>41354.99</v>
      </c>
      <c r="K4" s="48">
        <f t="shared" si="1"/>
        <v>52735.729999999996</v>
      </c>
      <c r="L4" s="41">
        <f>F4+I4</f>
        <v>63407.81</v>
      </c>
    </row>
    <row r="5" spans="2:12" ht="18" customHeight="1" x14ac:dyDescent="0.25">
      <c r="B5" s="51">
        <v>3</v>
      </c>
      <c r="C5" s="49" t="s">
        <v>5</v>
      </c>
      <c r="D5" s="2">
        <v>8157.68</v>
      </c>
      <c r="E5" s="2">
        <v>10672.84</v>
      </c>
      <c r="F5" s="2">
        <v>13281.88</v>
      </c>
      <c r="G5" s="2">
        <v>3921.84</v>
      </c>
      <c r="H5" s="2">
        <v>4814.38</v>
      </c>
      <c r="I5" s="2">
        <v>5800.71</v>
      </c>
      <c r="J5" s="48">
        <f t="shared" si="0"/>
        <v>12079.52</v>
      </c>
      <c r="K5" s="48">
        <f t="shared" si="1"/>
        <v>15487.220000000001</v>
      </c>
      <c r="L5" s="41">
        <f t="shared" ref="L5:L13" si="2">F5+I5</f>
        <v>19082.59</v>
      </c>
    </row>
    <row r="6" spans="2:12" ht="18" customHeight="1" x14ac:dyDescent="0.25">
      <c r="B6" s="51">
        <v>4</v>
      </c>
      <c r="C6" s="49" t="s">
        <v>6</v>
      </c>
      <c r="D6" s="2">
        <v>52989.49</v>
      </c>
      <c r="E6" s="2">
        <v>72121.990000000005</v>
      </c>
      <c r="F6" s="2">
        <v>82683.11</v>
      </c>
      <c r="G6" s="2">
        <v>22481.48</v>
      </c>
      <c r="H6" s="2">
        <v>26119.79</v>
      </c>
      <c r="I6" s="2">
        <v>28134.5</v>
      </c>
      <c r="J6" s="48">
        <f t="shared" si="0"/>
        <v>75470.97</v>
      </c>
      <c r="K6" s="48">
        <f t="shared" si="1"/>
        <v>98241.78</v>
      </c>
      <c r="L6" s="41">
        <f t="shared" si="2"/>
        <v>110817.61</v>
      </c>
    </row>
    <row r="7" spans="2:12" ht="18" customHeight="1" x14ac:dyDescent="0.25">
      <c r="B7" s="51">
        <v>5</v>
      </c>
      <c r="C7" s="49" t="s">
        <v>7</v>
      </c>
      <c r="D7" s="2">
        <v>13855.1</v>
      </c>
      <c r="E7" s="2">
        <v>17825.91</v>
      </c>
      <c r="F7" s="2">
        <v>19768.96</v>
      </c>
      <c r="G7" s="2">
        <v>8886.74</v>
      </c>
      <c r="H7" s="2">
        <v>10244.92</v>
      </c>
      <c r="I7" s="2">
        <v>11627.17</v>
      </c>
      <c r="J7" s="75">
        <f t="shared" si="0"/>
        <v>22741.84</v>
      </c>
      <c r="K7" s="75">
        <f t="shared" si="1"/>
        <v>28070.83</v>
      </c>
      <c r="L7" s="41">
        <f t="shared" si="2"/>
        <v>31396.129999999997</v>
      </c>
    </row>
    <row r="8" spans="2:12" ht="18" customHeight="1" x14ac:dyDescent="0.25">
      <c r="B8" s="51">
        <v>6</v>
      </c>
      <c r="C8" s="49" t="s">
        <v>8</v>
      </c>
      <c r="D8" s="2">
        <v>24716.75</v>
      </c>
      <c r="E8" s="2">
        <v>32341.49</v>
      </c>
      <c r="F8" s="2">
        <v>36825.79</v>
      </c>
      <c r="G8" s="2">
        <v>12097.9</v>
      </c>
      <c r="H8" s="2">
        <v>14300.46</v>
      </c>
      <c r="I8" s="2">
        <v>15401.65</v>
      </c>
      <c r="J8" s="48">
        <f t="shared" si="0"/>
        <v>36814.65</v>
      </c>
      <c r="K8" s="48">
        <f t="shared" si="1"/>
        <v>46641.95</v>
      </c>
      <c r="L8" s="41">
        <f t="shared" si="2"/>
        <v>52227.44</v>
      </c>
    </row>
    <row r="9" spans="2:12" ht="18" customHeight="1" x14ac:dyDescent="0.25">
      <c r="B9" s="51">
        <v>7</v>
      </c>
      <c r="C9" s="49" t="s">
        <v>9</v>
      </c>
      <c r="D9" s="2">
        <v>11145.44</v>
      </c>
      <c r="E9" s="2">
        <v>14220.32</v>
      </c>
      <c r="F9" s="2">
        <v>17240.8</v>
      </c>
      <c r="G9" s="2">
        <v>6421.46</v>
      </c>
      <c r="H9" s="2">
        <v>8721.91</v>
      </c>
      <c r="I9" s="2">
        <v>7747.27</v>
      </c>
      <c r="J9" s="48">
        <f t="shared" si="0"/>
        <v>17566.900000000001</v>
      </c>
      <c r="K9" s="48">
        <f t="shared" si="1"/>
        <v>22942.23</v>
      </c>
      <c r="L9" s="41">
        <f t="shared" si="2"/>
        <v>24988.07</v>
      </c>
    </row>
    <row r="10" spans="2:12" ht="18" customHeight="1" x14ac:dyDescent="0.25">
      <c r="B10" s="51">
        <v>8</v>
      </c>
      <c r="C10" s="49" t="s">
        <v>18</v>
      </c>
      <c r="D10" s="2">
        <v>5019.3500000000004</v>
      </c>
      <c r="E10" s="2">
        <v>6852.94</v>
      </c>
      <c r="F10" s="2">
        <v>7697.64</v>
      </c>
      <c r="G10" s="2">
        <v>2463.4</v>
      </c>
      <c r="H10" s="2">
        <v>2931.57</v>
      </c>
      <c r="I10" s="2">
        <v>3276.39</v>
      </c>
      <c r="J10" s="48">
        <f t="shared" si="0"/>
        <v>7482.75</v>
      </c>
      <c r="K10" s="48">
        <f t="shared" si="1"/>
        <v>9784.51</v>
      </c>
      <c r="L10" s="41">
        <f t="shared" si="2"/>
        <v>10974.03</v>
      </c>
    </row>
    <row r="11" spans="2:12" ht="18" customHeight="1" x14ac:dyDescent="0.25">
      <c r="B11" s="51">
        <v>9</v>
      </c>
      <c r="C11" s="49" t="s">
        <v>10</v>
      </c>
      <c r="D11" s="2">
        <v>50652.480000000003</v>
      </c>
      <c r="E11" s="2">
        <v>66818.55</v>
      </c>
      <c r="F11" s="2">
        <v>78978.559999999998</v>
      </c>
      <c r="G11" s="2">
        <v>24105.41</v>
      </c>
      <c r="H11" s="2">
        <v>28535.8</v>
      </c>
      <c r="I11" s="2">
        <v>32260.87</v>
      </c>
      <c r="J11" s="48">
        <f t="shared" si="0"/>
        <v>74757.89</v>
      </c>
      <c r="K11" s="48">
        <f t="shared" si="1"/>
        <v>95354.35</v>
      </c>
      <c r="L11" s="41">
        <f t="shared" si="2"/>
        <v>111239.43</v>
      </c>
    </row>
    <row r="12" spans="2:12" ht="18" customHeight="1" x14ac:dyDescent="0.25">
      <c r="B12" s="51">
        <v>10</v>
      </c>
      <c r="C12" s="49" t="s">
        <v>11</v>
      </c>
      <c r="D12" s="2">
        <v>10307.39</v>
      </c>
      <c r="E12" s="2">
        <v>13753.56</v>
      </c>
      <c r="F12" s="2">
        <v>15436.83</v>
      </c>
      <c r="G12" s="2">
        <v>5510.92</v>
      </c>
      <c r="H12" s="2">
        <v>6790.07</v>
      </c>
      <c r="I12" s="2">
        <v>7999.41</v>
      </c>
      <c r="J12" s="48">
        <f t="shared" si="0"/>
        <v>15818.31</v>
      </c>
      <c r="K12" s="48">
        <f t="shared" si="1"/>
        <v>20543.629999999997</v>
      </c>
      <c r="L12" s="41">
        <f t="shared" si="2"/>
        <v>23436.239999999998</v>
      </c>
    </row>
    <row r="13" spans="2:12" ht="18" customHeight="1" x14ac:dyDescent="0.25">
      <c r="B13" s="53">
        <v>11</v>
      </c>
      <c r="C13" s="54" t="s">
        <v>12</v>
      </c>
      <c r="D13" s="9">
        <v>47978</v>
      </c>
      <c r="E13" s="9">
        <v>63207.56</v>
      </c>
      <c r="F13" s="9">
        <v>70512.3</v>
      </c>
      <c r="G13" s="9">
        <v>21931.33</v>
      </c>
      <c r="H13" s="9">
        <v>24439.96</v>
      </c>
      <c r="I13" s="9">
        <v>25936.55</v>
      </c>
      <c r="J13" s="55">
        <f t="shared" si="0"/>
        <v>69909.33</v>
      </c>
      <c r="K13" s="55">
        <f t="shared" si="1"/>
        <v>87647.51999999999</v>
      </c>
      <c r="L13" s="42">
        <f t="shared" si="2"/>
        <v>96448.85</v>
      </c>
    </row>
    <row r="14" spans="2:12" ht="18" customHeight="1" x14ac:dyDescent="0.25">
      <c r="B14" s="76">
        <v>12</v>
      </c>
      <c r="C14" s="74" t="s">
        <v>13</v>
      </c>
      <c r="D14" s="59">
        <v>187262.56</v>
      </c>
      <c r="E14" s="59">
        <v>255255</v>
      </c>
      <c r="F14" s="59">
        <v>295524</v>
      </c>
      <c r="G14" s="59">
        <v>97743.14</v>
      </c>
      <c r="H14" s="59">
        <v>117761</v>
      </c>
      <c r="I14" s="59">
        <v>118069</v>
      </c>
      <c r="J14" s="44">
        <f>D14+G14</f>
        <v>285005.7</v>
      </c>
      <c r="K14" s="44">
        <f>E14+H14</f>
        <v>373016</v>
      </c>
      <c r="L14" s="43">
        <f>F14+I14</f>
        <v>413593</v>
      </c>
    </row>
    <row r="15" spans="2:12" ht="19.899999999999999" customHeight="1" x14ac:dyDescent="0.25">
      <c r="B15" s="12"/>
      <c r="C15" s="3"/>
      <c r="D15" s="33"/>
      <c r="E15" s="33"/>
      <c r="F15" s="33"/>
      <c r="G15" s="33"/>
      <c r="H15" s="33"/>
      <c r="I15" s="33"/>
      <c r="J15" s="11"/>
      <c r="K15" s="11"/>
      <c r="L15" s="19"/>
    </row>
    <row r="16" spans="2:12" s="27" customFormat="1" ht="16.149999999999999" customHeight="1" x14ac:dyDescent="0.25">
      <c r="B16" s="114"/>
      <c r="C16" s="114"/>
      <c r="D16" s="114"/>
      <c r="E16" s="114"/>
      <c r="F16" s="114"/>
      <c r="G16" s="114"/>
      <c r="H16" s="114"/>
      <c r="I16" s="114"/>
      <c r="J16" s="114"/>
      <c r="K16" s="114"/>
    </row>
    <row r="18" spans="4:4" x14ac:dyDescent="0.25">
      <c r="D18" s="11"/>
    </row>
  </sheetData>
  <mergeCells count="3">
    <mergeCell ref="J1:L1"/>
    <mergeCell ref="G1:I1"/>
    <mergeCell ref="D1:F1"/>
  </mergeCells>
  <pageMargins left="0.25" right="0.25" top="0.75" bottom="0.75" header="0.3" footer="0.3"/>
  <pageSetup paperSize="9" scale="9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L16"/>
  <sheetViews>
    <sheetView zoomScaleNormal="100" workbookViewId="0">
      <selection activeCell="C16" sqref="C16"/>
    </sheetView>
  </sheetViews>
  <sheetFormatPr defaultColWidth="9.28515625" defaultRowHeight="15.75" x14ac:dyDescent="0.25"/>
  <cols>
    <col min="1" max="1" width="9.28515625" style="14"/>
    <col min="2" max="2" width="8" style="14" customWidth="1"/>
    <col min="3" max="3" width="39.140625" style="14" customWidth="1"/>
    <col min="4" max="6" width="10.7109375" style="14" customWidth="1"/>
    <col min="7" max="7" width="10.5703125" style="14" customWidth="1"/>
    <col min="8" max="8" width="10.28515625" style="14" customWidth="1"/>
    <col min="9" max="12" width="11.140625" style="14" customWidth="1"/>
    <col min="13" max="16384" width="9.28515625" style="14"/>
  </cols>
  <sheetData>
    <row r="1" spans="2:12" s="28" customFormat="1" ht="33" customHeight="1" x14ac:dyDescent="0.25">
      <c r="B1" s="50" t="s">
        <v>43</v>
      </c>
      <c r="C1" s="46" t="s">
        <v>14</v>
      </c>
      <c r="D1" s="130" t="s">
        <v>31</v>
      </c>
      <c r="E1" s="130"/>
      <c r="F1" s="130"/>
      <c r="G1" s="130" t="s">
        <v>32</v>
      </c>
      <c r="H1" s="130"/>
      <c r="I1" s="130"/>
      <c r="J1" s="130" t="s">
        <v>33</v>
      </c>
      <c r="K1" s="130"/>
      <c r="L1" s="131"/>
    </row>
    <row r="2" spans="2:12" ht="18" customHeight="1" thickBot="1" x14ac:dyDescent="0.3">
      <c r="B2" s="22" t="s">
        <v>1</v>
      </c>
      <c r="C2" s="65" t="s">
        <v>2</v>
      </c>
      <c r="D2" s="1">
        <v>2023</v>
      </c>
      <c r="E2" s="1">
        <v>2024</v>
      </c>
      <c r="F2" s="1">
        <v>2025</v>
      </c>
      <c r="G2" s="1">
        <v>2023</v>
      </c>
      <c r="H2" s="1">
        <v>2024</v>
      </c>
      <c r="I2" s="1">
        <v>2025</v>
      </c>
      <c r="J2" s="1">
        <v>2023</v>
      </c>
      <c r="K2" s="1">
        <v>2024</v>
      </c>
      <c r="L2" s="7">
        <v>2025</v>
      </c>
    </row>
    <row r="3" spans="2:12" ht="18.600000000000001" customHeight="1" x14ac:dyDescent="0.25">
      <c r="B3" s="78">
        <v>1</v>
      </c>
      <c r="C3" s="63" t="s">
        <v>3</v>
      </c>
      <c r="D3" s="8">
        <f>INCOME!K3-EXP!J3</f>
        <v>26863.539999999994</v>
      </c>
      <c r="E3" s="8">
        <f>INCOME!L3-EXP!K3</f>
        <v>30965.22</v>
      </c>
      <c r="F3" s="8">
        <v>32434.63</v>
      </c>
      <c r="G3" s="8">
        <f>7136.9+5617.02</f>
        <v>12753.92</v>
      </c>
      <c r="H3" s="8">
        <f>6075.61+7100.83</f>
        <v>13176.439999999999</v>
      </c>
      <c r="I3" s="8">
        <f>5980.25+6873.23</f>
        <v>12853.48</v>
      </c>
      <c r="J3" s="77">
        <f t="shared" ref="J3:J13" si="0">D3-G3</f>
        <v>14109.619999999994</v>
      </c>
      <c r="K3" s="77">
        <f t="shared" ref="K3:K13" si="1">E3-H3</f>
        <v>17788.780000000002</v>
      </c>
      <c r="L3" s="37">
        <f>F3-I3</f>
        <v>19581.150000000001</v>
      </c>
    </row>
    <row r="4" spans="2:12" ht="18.600000000000001" customHeight="1" x14ac:dyDescent="0.25">
      <c r="B4" s="79">
        <v>2</v>
      </c>
      <c r="C4" s="47" t="s">
        <v>4</v>
      </c>
      <c r="D4" s="2">
        <f>INCOME!K4-EXP!J4</f>
        <v>13392.620000000003</v>
      </c>
      <c r="E4" s="2">
        <f>INCOME!L4-EXP!K4</f>
        <v>14068.61</v>
      </c>
      <c r="F4" s="8">
        <v>16412.11</v>
      </c>
      <c r="G4" s="2">
        <f>7163.31+2206.37</f>
        <v>9369.68</v>
      </c>
      <c r="H4" s="2">
        <f>3969.54+3781.15</f>
        <v>7750.6900000000005</v>
      </c>
      <c r="I4" s="2">
        <f>3977.67+3215.42</f>
        <v>7193.09</v>
      </c>
      <c r="J4" s="72">
        <f t="shared" si="0"/>
        <v>4022.9400000000023</v>
      </c>
      <c r="K4" s="72">
        <f t="shared" si="1"/>
        <v>6317.92</v>
      </c>
      <c r="L4" s="41">
        <f t="shared" ref="L4:L13" si="2">F4-I4</f>
        <v>9219.02</v>
      </c>
    </row>
    <row r="5" spans="2:12" ht="18.600000000000001" customHeight="1" x14ac:dyDescent="0.25">
      <c r="B5" s="79">
        <v>3</v>
      </c>
      <c r="C5" s="47" t="s">
        <v>5</v>
      </c>
      <c r="D5" s="2">
        <f>INCOME!K5-EXP!J5</f>
        <v>6099.2099999999991</v>
      </c>
      <c r="E5" s="2">
        <f>INCOME!L5-EXP!K5</f>
        <v>8005.3399999999965</v>
      </c>
      <c r="F5" s="2">
        <v>9319.0300000000007</v>
      </c>
      <c r="G5" s="2">
        <f>2654.33+842.85</f>
        <v>3497.18</v>
      </c>
      <c r="H5" s="2">
        <f>3645.87+304.44</f>
        <v>3950.31</v>
      </c>
      <c r="I5" s="2">
        <f>202.69+3596.55</f>
        <v>3799.2400000000002</v>
      </c>
      <c r="J5" s="72">
        <f t="shared" si="0"/>
        <v>2602.0299999999993</v>
      </c>
      <c r="K5" s="72">
        <f t="shared" si="1"/>
        <v>4055.0299999999966</v>
      </c>
      <c r="L5" s="41">
        <f t="shared" si="2"/>
        <v>5519.7900000000009</v>
      </c>
    </row>
    <row r="6" spans="2:12" ht="18.600000000000001" customHeight="1" x14ac:dyDescent="0.25">
      <c r="B6" s="79">
        <v>4</v>
      </c>
      <c r="C6" s="47" t="s">
        <v>6</v>
      </c>
      <c r="D6" s="2">
        <f>INCOME!K6-EXP!J6</f>
        <v>27716.009999999995</v>
      </c>
      <c r="E6" s="2">
        <f>INCOME!L6-EXP!K6</f>
        <v>29412.589999999997</v>
      </c>
      <c r="F6" s="2">
        <v>31390.26</v>
      </c>
      <c r="G6" s="2">
        <f>13543+3569.24</f>
        <v>17112.239999999998</v>
      </c>
      <c r="H6" s="2">
        <f>9707.61+5150.65</f>
        <v>14858.26</v>
      </c>
      <c r="I6" s="2">
        <f>8763.59+5600</f>
        <v>14363.59</v>
      </c>
      <c r="J6" s="72">
        <f t="shared" si="0"/>
        <v>10603.769999999997</v>
      </c>
      <c r="K6" s="72">
        <f t="shared" si="1"/>
        <v>14554.329999999996</v>
      </c>
      <c r="L6" s="41">
        <f t="shared" si="2"/>
        <v>17026.669999999998</v>
      </c>
    </row>
    <row r="7" spans="2:12" ht="18.600000000000001" customHeight="1" x14ac:dyDescent="0.25">
      <c r="B7" s="79">
        <v>5</v>
      </c>
      <c r="C7" s="47" t="s">
        <v>16</v>
      </c>
      <c r="D7" s="2">
        <f>INCOME!K7-EXP!J7</f>
        <v>6883.7599999999984</v>
      </c>
      <c r="E7" s="2">
        <f>INCOME!L7-EXP!K7</f>
        <v>7362.68</v>
      </c>
      <c r="F7" s="2">
        <v>8124.31</v>
      </c>
      <c r="G7" s="2">
        <f>4238.42+1063.14</f>
        <v>5301.56</v>
      </c>
      <c r="H7" s="2">
        <f>3309.3+1504.32</f>
        <v>4813.62</v>
      </c>
      <c r="I7" s="2">
        <f>3190.04+1149.01</f>
        <v>4339.05</v>
      </c>
      <c r="J7" s="72">
        <f t="shared" si="0"/>
        <v>1582.199999999998</v>
      </c>
      <c r="K7" s="72">
        <f t="shared" si="1"/>
        <v>2549.0600000000004</v>
      </c>
      <c r="L7" s="41">
        <f t="shared" si="2"/>
        <v>3785.26</v>
      </c>
    </row>
    <row r="8" spans="2:12" ht="18.600000000000001" customHeight="1" x14ac:dyDescent="0.25">
      <c r="B8" s="79">
        <v>6</v>
      </c>
      <c r="C8" s="47" t="s">
        <v>8</v>
      </c>
      <c r="D8" s="2">
        <f>INCOME!K8-EXP!J8</f>
        <v>15270.619999999995</v>
      </c>
      <c r="E8" s="2">
        <f>INCOME!L8-EXP!K8</f>
        <v>16839.550000000003</v>
      </c>
      <c r="F8" s="2">
        <v>18998.2</v>
      </c>
      <c r="G8" s="2">
        <f>9356.21+632.71</f>
        <v>9988.9199999999983</v>
      </c>
      <c r="H8" s="2">
        <f>5888.41+2888.2</f>
        <v>8776.61</v>
      </c>
      <c r="I8" s="2">
        <f>4211.27+3868.64</f>
        <v>8079.91</v>
      </c>
      <c r="J8" s="72">
        <f t="shared" si="0"/>
        <v>5281.6999999999971</v>
      </c>
      <c r="K8" s="72">
        <f t="shared" si="1"/>
        <v>8062.9400000000023</v>
      </c>
      <c r="L8" s="41">
        <f t="shared" si="2"/>
        <v>10918.29</v>
      </c>
    </row>
    <row r="9" spans="2:12" ht="18.600000000000001" customHeight="1" x14ac:dyDescent="0.25">
      <c r="B9" s="79">
        <v>7</v>
      </c>
      <c r="C9" s="47" t="s">
        <v>9</v>
      </c>
      <c r="D9" s="2">
        <f>INCOME!K9-EXP!J9</f>
        <v>5942.18</v>
      </c>
      <c r="E9" s="2">
        <f>INCOME!L9-EXP!K9</f>
        <v>6763.7599999999984</v>
      </c>
      <c r="F9" s="2">
        <v>8688.01</v>
      </c>
      <c r="G9" s="2">
        <f>3593.93+249.46</f>
        <v>3843.39</v>
      </c>
      <c r="H9" s="2">
        <f>3351.23+756.92</f>
        <v>4108.1499999999996</v>
      </c>
      <c r="I9" s="2">
        <f>4176.29+1177.01</f>
        <v>5353.3</v>
      </c>
      <c r="J9" s="72">
        <f t="shared" si="0"/>
        <v>2098.7900000000004</v>
      </c>
      <c r="K9" s="72">
        <f t="shared" si="1"/>
        <v>2655.6099999999988</v>
      </c>
      <c r="L9" s="41">
        <f t="shared" si="2"/>
        <v>3334.71</v>
      </c>
    </row>
    <row r="10" spans="2:12" ht="18.600000000000001" customHeight="1" x14ac:dyDescent="0.25">
      <c r="B10" s="79">
        <v>8</v>
      </c>
      <c r="C10" s="47" t="s">
        <v>18</v>
      </c>
      <c r="D10" s="2">
        <f>INCOME!K10-EXP!J10</f>
        <v>1449.9399999999987</v>
      </c>
      <c r="E10" s="2">
        <f>INCOME!L10-EXP!K10</f>
        <v>1130.9399999999987</v>
      </c>
      <c r="F10" s="2">
        <v>2074.92</v>
      </c>
      <c r="G10" s="2">
        <f>-169.9+306.81</f>
        <v>136.91</v>
      </c>
      <c r="H10" s="2">
        <f>193.96+341.56</f>
        <v>535.52</v>
      </c>
      <c r="I10" s="2">
        <f>737.37+321.72</f>
        <v>1059.0900000000001</v>
      </c>
      <c r="J10" s="72">
        <f t="shared" si="0"/>
        <v>1313.0299999999986</v>
      </c>
      <c r="K10" s="72">
        <f t="shared" si="1"/>
        <v>595.41999999999871</v>
      </c>
      <c r="L10" s="41">
        <f t="shared" si="2"/>
        <v>1015.8299999999999</v>
      </c>
    </row>
    <row r="11" spans="2:12" ht="18.600000000000001" customHeight="1" x14ac:dyDescent="0.25">
      <c r="B11" s="79">
        <v>9</v>
      </c>
      <c r="C11" s="47" t="s">
        <v>10</v>
      </c>
      <c r="D11" s="2">
        <f>INCOME!K11-EXP!J11</f>
        <v>22528.75</v>
      </c>
      <c r="E11" s="2">
        <f>INCOME!L11-EXP!K11</f>
        <v>24930.809999999998</v>
      </c>
      <c r="F11" s="2">
        <v>26830.67</v>
      </c>
      <c r="G11" s="2">
        <f>1781.06+18240.49</f>
        <v>20021.550000000003</v>
      </c>
      <c r="H11" s="2">
        <f>11736.6+4949.59</f>
        <v>16686.190000000002</v>
      </c>
      <c r="I11" s="2">
        <f>8525.87+1674.6</f>
        <v>10200.470000000001</v>
      </c>
      <c r="J11" s="72">
        <f t="shared" si="0"/>
        <v>2507.1999999999971</v>
      </c>
      <c r="K11" s="72">
        <f t="shared" si="1"/>
        <v>8244.6199999999953</v>
      </c>
      <c r="L11" s="41">
        <f t="shared" si="2"/>
        <v>16630.199999999997</v>
      </c>
    </row>
    <row r="12" spans="2:12" ht="18.600000000000001" customHeight="1" x14ac:dyDescent="0.25">
      <c r="B12" s="79">
        <v>10</v>
      </c>
      <c r="C12" s="47" t="s">
        <v>11</v>
      </c>
      <c r="D12" s="2">
        <f>INCOME!K12-EXP!J12</f>
        <v>4340.67</v>
      </c>
      <c r="E12" s="2">
        <f>INCOME!L12-EXP!K12</f>
        <v>4576.2400000000016</v>
      </c>
      <c r="F12" s="2">
        <v>6037.29</v>
      </c>
      <c r="G12" s="2">
        <f>1435.56+1042.77</f>
        <v>2478.33</v>
      </c>
      <c r="H12" s="2">
        <f>2007.39+915.11</f>
        <v>2922.5</v>
      </c>
      <c r="I12" s="2">
        <f>2203.74+1388.59</f>
        <v>3592.33</v>
      </c>
      <c r="J12" s="72">
        <f t="shared" si="0"/>
        <v>1862.3400000000001</v>
      </c>
      <c r="K12" s="72">
        <f t="shared" si="1"/>
        <v>1653.7400000000016</v>
      </c>
      <c r="L12" s="41">
        <f t="shared" si="2"/>
        <v>2444.96</v>
      </c>
    </row>
    <row r="13" spans="2:12" ht="18.600000000000001" customHeight="1" x14ac:dyDescent="0.25">
      <c r="B13" s="80">
        <v>11</v>
      </c>
      <c r="C13" s="56" t="s">
        <v>12</v>
      </c>
      <c r="D13" s="9">
        <f>INCOME!K13-EXP!J13</f>
        <v>25467.159999999989</v>
      </c>
      <c r="E13" s="9">
        <f>INCOME!L13-EXP!K13</f>
        <v>28210.630000000019</v>
      </c>
      <c r="F13" s="9">
        <v>31090.04</v>
      </c>
      <c r="G13" s="9">
        <f>13329.44+3704.45</f>
        <v>17033.89</v>
      </c>
      <c r="H13" s="9">
        <f>6780.24+7782.08</f>
        <v>14562.32</v>
      </c>
      <c r="I13" s="9">
        <f>7610.98+5491.92</f>
        <v>13102.9</v>
      </c>
      <c r="J13" s="73">
        <f t="shared" si="0"/>
        <v>8433.2699999999895</v>
      </c>
      <c r="K13" s="73">
        <f t="shared" si="1"/>
        <v>13648.310000000019</v>
      </c>
      <c r="L13" s="42">
        <f t="shared" si="2"/>
        <v>17987.14</v>
      </c>
    </row>
    <row r="14" spans="2:12" ht="18.600000000000001" customHeight="1" x14ac:dyDescent="0.25">
      <c r="B14" s="81">
        <v>12</v>
      </c>
      <c r="C14" s="58" t="s">
        <v>13</v>
      </c>
      <c r="D14" s="31">
        <f>INCOME!K14-EXP!J14</f>
        <v>83712.950000000012</v>
      </c>
      <c r="E14" s="31">
        <f>INCOME!L14-EXP!K14</f>
        <v>93797</v>
      </c>
      <c r="F14" s="31">
        <v>110579</v>
      </c>
      <c r="G14" s="32">
        <v>33480.51</v>
      </c>
      <c r="H14" s="32">
        <f>25620+7100</f>
        <v>32720</v>
      </c>
      <c r="I14" s="32">
        <f>39678</f>
        <v>39678</v>
      </c>
      <c r="J14" s="31">
        <f>D14-G14</f>
        <v>50232.44000000001</v>
      </c>
      <c r="K14" s="31">
        <v>61077</v>
      </c>
      <c r="L14" s="42">
        <f>F14-I14</f>
        <v>70901</v>
      </c>
    </row>
    <row r="15" spans="2:12" x14ac:dyDescent="0.25">
      <c r="B15" s="134"/>
      <c r="C15" s="134"/>
      <c r="D15" s="134"/>
      <c r="E15" s="134"/>
      <c r="F15" s="134"/>
      <c r="G15" s="134"/>
      <c r="H15" s="134"/>
      <c r="I15" s="134"/>
      <c r="J15" s="134"/>
      <c r="K15" s="134"/>
      <c r="L15" s="134"/>
    </row>
    <row r="16" spans="2:12" x14ac:dyDescent="0.25">
      <c r="E16" s="26"/>
      <c r="F16" s="26"/>
      <c r="H16" s="26"/>
      <c r="I16" s="26"/>
      <c r="K16" s="26"/>
      <c r="L16" s="26"/>
    </row>
  </sheetData>
  <mergeCells count="4">
    <mergeCell ref="B15:L15"/>
    <mergeCell ref="D1:F1"/>
    <mergeCell ref="J1:L1"/>
    <mergeCell ref="G1:I1"/>
  </mergeCells>
  <pageMargins left="0.39370078740157483" right="0.19685039370078741" top="0.39370078740157483" bottom="0.19685039370078741" header="0" footer="0"/>
  <pageSetup paperSize="9" scale="9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L16"/>
  <sheetViews>
    <sheetView zoomScaleNormal="100" workbookViewId="0">
      <selection activeCell="F22" sqref="F22"/>
    </sheetView>
  </sheetViews>
  <sheetFormatPr defaultColWidth="9.28515625" defaultRowHeight="15" x14ac:dyDescent="0.25"/>
  <cols>
    <col min="1" max="1" width="9.28515625" style="4"/>
    <col min="2" max="2" width="8" style="4" customWidth="1"/>
    <col min="3" max="3" width="37.42578125" style="4" customWidth="1"/>
    <col min="4" max="4" width="11" style="4" customWidth="1"/>
    <col min="5" max="6" width="10.42578125" style="4" customWidth="1"/>
    <col min="7" max="7" width="10.7109375" style="4" customWidth="1"/>
    <col min="8" max="9" width="10.42578125" style="4" customWidth="1"/>
    <col min="10" max="10" width="10.42578125" style="5" customWidth="1"/>
    <col min="11" max="12" width="9.7109375" style="5" customWidth="1"/>
    <col min="13" max="16384" width="9.28515625" style="4"/>
  </cols>
  <sheetData>
    <row r="1" spans="2:12" s="28" customFormat="1" ht="30" customHeight="1" x14ac:dyDescent="0.25">
      <c r="B1" s="50" t="s">
        <v>43</v>
      </c>
      <c r="C1" s="46" t="s">
        <v>14</v>
      </c>
      <c r="D1" s="135" t="s">
        <v>34</v>
      </c>
      <c r="E1" s="136"/>
      <c r="F1" s="138"/>
      <c r="G1" s="135" t="s">
        <v>35</v>
      </c>
      <c r="H1" s="136"/>
      <c r="I1" s="138"/>
      <c r="J1" s="135" t="s">
        <v>36</v>
      </c>
      <c r="K1" s="136"/>
      <c r="L1" s="137"/>
    </row>
    <row r="2" spans="2:12" s="14" customFormat="1" ht="18.75" customHeight="1" thickBot="1" x14ac:dyDescent="0.3">
      <c r="B2" s="69" t="s">
        <v>1</v>
      </c>
      <c r="C2" s="104" t="s">
        <v>2</v>
      </c>
      <c r="D2" s="105">
        <v>2023</v>
      </c>
      <c r="E2" s="105">
        <v>2024</v>
      </c>
      <c r="F2" s="105">
        <v>2025</v>
      </c>
      <c r="G2" s="105">
        <v>2023</v>
      </c>
      <c r="H2" s="105">
        <v>2024</v>
      </c>
      <c r="I2" s="105">
        <v>2025</v>
      </c>
      <c r="J2" s="105">
        <v>2023</v>
      </c>
      <c r="K2" s="105">
        <v>2024</v>
      </c>
      <c r="L2" s="106">
        <v>2025</v>
      </c>
    </row>
    <row r="3" spans="2:12" s="14" customFormat="1" ht="18.75" customHeight="1" x14ac:dyDescent="0.25">
      <c r="B3" s="62">
        <v>1</v>
      </c>
      <c r="C3" s="70" t="s">
        <v>3</v>
      </c>
      <c r="D3" s="38">
        <f>DEPO!J3/DEPO!D3*100</f>
        <v>78.176274430764153</v>
      </c>
      <c r="E3" s="38">
        <f>DEPO!K3/DEPO!E3*100</f>
        <v>79.825680731946193</v>
      </c>
      <c r="F3" s="38">
        <f>DEPO!L3/DEPO!F3*100</f>
        <v>82.169107613179122</v>
      </c>
      <c r="G3" s="38">
        <f>DEPO!G3/DEPO!D3*100</f>
        <v>30.114566502331968</v>
      </c>
      <c r="H3" s="38">
        <f>DEPO!H3/DEPO!E3*100</f>
        <v>27.698805904774975</v>
      </c>
      <c r="I3" s="38">
        <f>DEPO!I3/DEPO!F3*100</f>
        <v>26.181340068137654</v>
      </c>
      <c r="J3" s="83">
        <f>(INCOME!E3-EXP!D3)/Assets!D3*100</f>
        <v>2.8353969898315015</v>
      </c>
      <c r="K3" s="84">
        <f>(INCOME!F3-EXP!E3)/Assets!E3*100</f>
        <v>2.8201294025580532</v>
      </c>
      <c r="L3" s="71">
        <f>(INCOME!G3-EXP!F3)/Assets!F3*100</f>
        <v>2.563298172428969</v>
      </c>
    </row>
    <row r="4" spans="2:12" s="14" customFormat="1" ht="18.75" customHeight="1" x14ac:dyDescent="0.25">
      <c r="B4" s="51">
        <v>2</v>
      </c>
      <c r="C4" s="49" t="s">
        <v>4</v>
      </c>
      <c r="D4" s="17">
        <f>DEPO!J4/DEPO!D4*100</f>
        <v>72.567174343549596</v>
      </c>
      <c r="E4" s="17">
        <f>DEPO!K4/DEPO!E4*100</f>
        <v>76.31511677936021</v>
      </c>
      <c r="F4" s="17">
        <f>DEPO!L4/DEPO!F4*100</f>
        <v>79.562036706793677</v>
      </c>
      <c r="G4" s="17">
        <f>DEPO!G4/DEPO!D4*100</f>
        <v>30.526026529825895</v>
      </c>
      <c r="H4" s="17">
        <f>DEPO!H4/DEPO!E4*100</f>
        <v>30.781711480703315</v>
      </c>
      <c r="I4" s="17">
        <f>DEPO!I4/DEPO!F4*100</f>
        <v>31.732839442120692</v>
      </c>
      <c r="J4" s="82">
        <f>(INCOME!E4-EXP!D4)/Assets!D4*100</f>
        <v>2.4860218059826673</v>
      </c>
      <c r="K4" s="101">
        <f>(INCOME!F4-EXP!E4)/Assets!E4*100</f>
        <v>2.5260763250479461</v>
      </c>
      <c r="L4" s="107">
        <f>(INCOME!G4-EXP!F4)/Assets!F4*100</f>
        <v>2.3397633154880539</v>
      </c>
    </row>
    <row r="5" spans="2:12" s="14" customFormat="1" ht="18.75" customHeight="1" x14ac:dyDescent="0.25">
      <c r="B5" s="51">
        <v>3</v>
      </c>
      <c r="C5" s="49" t="s">
        <v>5</v>
      </c>
      <c r="D5" s="17">
        <f>DEPO!J5/DEPO!D5*100</f>
        <v>73.145381794159235</v>
      </c>
      <c r="E5" s="17">
        <f>DEPO!K5/DEPO!E5*100</f>
        <v>73.958254115823266</v>
      </c>
      <c r="F5" s="17">
        <f>DEPO!L5/DEPO!F5*100</f>
        <v>76.864557374978276</v>
      </c>
      <c r="G5" s="17">
        <f>DEPO!G5/DEPO!D5*100</f>
        <v>29.419925472486902</v>
      </c>
      <c r="H5" s="17">
        <f>DEPO!H5/DEPO!E5*100</f>
        <v>25.216928398549836</v>
      </c>
      <c r="I5" s="17">
        <f>DEPO!I5/DEPO!F5*100</f>
        <v>26.699256306354119</v>
      </c>
      <c r="J5" s="82">
        <f>(INCOME!E5-EXP!D5)/Assets!D5*100</f>
        <v>2.8921127590631972</v>
      </c>
      <c r="K5" s="101">
        <f>(INCOME!F5-EXP!E5)/Assets!E5*100</f>
        <v>3.1978636564049769</v>
      </c>
      <c r="L5" s="107">
        <f>(INCOME!G5-EXP!F5)/Assets!F5*100</f>
        <v>3.1601836853363943</v>
      </c>
    </row>
    <row r="6" spans="2:12" s="14" customFormat="1" ht="18.75" customHeight="1" x14ac:dyDescent="0.25">
      <c r="B6" s="51">
        <v>4</v>
      </c>
      <c r="C6" s="49" t="s">
        <v>6</v>
      </c>
      <c r="D6" s="17">
        <f>DEPO!J6/DEPO!D6*100</f>
        <v>70.44262556202365</v>
      </c>
      <c r="E6" s="17">
        <f>DEPO!K6/DEPO!E6*100</f>
        <v>70.987239609822126</v>
      </c>
      <c r="F6" s="17">
        <f>DEPO!L6/DEPO!F6*100</f>
        <v>72.013668247580426</v>
      </c>
      <c r="G6" s="17">
        <f>DEPO!G6/DEPO!D6*100</f>
        <v>27.055072511109707</v>
      </c>
      <c r="H6" s="17">
        <f>DEPO!H6/DEPO!E6*100</f>
        <v>27.237390625169894</v>
      </c>
      <c r="I6" s="17">
        <f>DEPO!I6/DEPO!F6*100</f>
        <v>26.106650500282392</v>
      </c>
      <c r="J6" s="82">
        <f>(INCOME!E6-EXP!D6)/Assets!D6*100</f>
        <v>2.3359245496271641</v>
      </c>
      <c r="K6" s="101">
        <f>(INCOME!F6-EXP!E6)/Assets!E6*100</f>
        <v>2.451554926371704</v>
      </c>
      <c r="L6" s="107">
        <f>(INCOME!G6-EXP!F6)/Assets!F6*100</f>
        <v>2.2029277007285741</v>
      </c>
    </row>
    <row r="7" spans="2:12" s="14" customFormat="1" ht="18.75" customHeight="1" x14ac:dyDescent="0.25">
      <c r="B7" s="51">
        <v>5</v>
      </c>
      <c r="C7" s="49" t="s">
        <v>7</v>
      </c>
      <c r="D7" s="17">
        <f>DEPO!J7/DEPO!D7*100</f>
        <v>56.494935783811073</v>
      </c>
      <c r="E7" s="17">
        <f>DEPO!K7/DEPO!E7*100</f>
        <v>63.220551541185856</v>
      </c>
      <c r="F7" s="17">
        <f>DEPO!L7/DEPO!F7*100</f>
        <v>68.432717997512654</v>
      </c>
      <c r="G7" s="17">
        <f>DEPO!G7/DEPO!D7*100</f>
        <v>38.014144697831298</v>
      </c>
      <c r="H7" s="17">
        <f>DEPO!H7/DEPO!E7*100</f>
        <v>37.381625558438124</v>
      </c>
      <c r="I7" s="17">
        <f>DEPO!I7/DEPO!F7*100</f>
        <v>34.27095472481345</v>
      </c>
      <c r="J7" s="82">
        <f>(INCOME!E7-EXP!D7)/Assets!D7*100</f>
        <v>2.8773468666675743</v>
      </c>
      <c r="K7" s="101">
        <f>(INCOME!F7-EXP!E7)/Assets!E7*100</f>
        <v>2.8871968868300408</v>
      </c>
      <c r="L7" s="107">
        <f>(INCOME!G7-EXP!F7)/Assets!F7*100</f>
        <v>2.9004537888434978</v>
      </c>
    </row>
    <row r="8" spans="2:12" s="14" customFormat="1" ht="18.75" customHeight="1" x14ac:dyDescent="0.25">
      <c r="B8" s="51">
        <v>6</v>
      </c>
      <c r="C8" s="49" t="s">
        <v>8</v>
      </c>
      <c r="D8" s="17">
        <f>DEPO!J8/DEPO!D8*100</f>
        <v>72.331213169251313</v>
      </c>
      <c r="E8" s="17">
        <f>DEPO!K8/DEPO!E8*100</f>
        <v>74.838527354651163</v>
      </c>
      <c r="F8" s="17">
        <f>DEPO!L8/DEPO!F8*100</f>
        <v>77.469773055155557</v>
      </c>
      <c r="G8" s="17">
        <f>DEPO!G8/DEPO!D8*100</f>
        <v>29.941806515542645</v>
      </c>
      <c r="H8" s="17">
        <f>DEPO!H8/DEPO!E8*100</f>
        <v>30.894546017441861</v>
      </c>
      <c r="I8" s="17">
        <f>DEPO!I8/DEPO!F8*100</f>
        <v>30.563932974833623</v>
      </c>
      <c r="J8" s="82">
        <f>(INCOME!E8-EXP!D8)/Assets!D8*100</f>
        <v>2.8466487289886389</v>
      </c>
      <c r="K8" s="101">
        <f>(INCOME!F8-EXP!E8)/Assets!E8*100</f>
        <v>2.9362513890304855</v>
      </c>
      <c r="L8" s="107">
        <f>(INCOME!G8-EXP!F8)/Assets!F8*100</f>
        <v>2.8825352326247082</v>
      </c>
    </row>
    <row r="9" spans="2:12" s="14" customFormat="1" ht="18.75" customHeight="1" x14ac:dyDescent="0.25">
      <c r="B9" s="51">
        <v>7</v>
      </c>
      <c r="C9" s="49" t="s">
        <v>9</v>
      </c>
      <c r="D9" s="17">
        <f>DEPO!J9/DEPO!D9*100</f>
        <v>68.249894425971092</v>
      </c>
      <c r="E9" s="17">
        <f>DEPO!K9/DEPO!E9*100</f>
        <v>74.611680969417222</v>
      </c>
      <c r="F9" s="17">
        <f>DEPO!L9/DEPO!F9*100</f>
        <v>78.71901611989172</v>
      </c>
      <c r="G9" s="17">
        <f>DEPO!G9/DEPO!D9*100</f>
        <v>36.096758056064076</v>
      </c>
      <c r="H9" s="17">
        <f>DEPO!H9/DEPO!E9*100</f>
        <v>34.84792066522148</v>
      </c>
      <c r="I9" s="17">
        <f>DEPO!I9/DEPO!F9*100</f>
        <v>35.598275328476269</v>
      </c>
      <c r="J9" s="82">
        <f>(INCOME!E9-EXP!D9)/Assets!D9*100</f>
        <v>2.6310756905064108</v>
      </c>
      <c r="K9" s="101">
        <f>(INCOME!F9-EXP!E9)/Assets!E9*100</f>
        <v>2.7921793378711954</v>
      </c>
      <c r="L9" s="107">
        <f>(INCOME!G9-EXP!F9)/Assets!F9*100</f>
        <v>2.7569109158251077</v>
      </c>
    </row>
    <row r="10" spans="2:12" s="14" customFormat="1" ht="18.75" customHeight="1" x14ac:dyDescent="0.25">
      <c r="B10" s="51">
        <v>8</v>
      </c>
      <c r="C10" s="49" t="s">
        <v>18</v>
      </c>
      <c r="D10" s="17">
        <f>DEPO!J10/DEPO!D10*100</f>
        <v>70.048864050121864</v>
      </c>
      <c r="E10" s="17">
        <f>DEPO!K10/DEPO!E10*100</f>
        <v>69.287908714169006</v>
      </c>
      <c r="F10" s="17">
        <f>DEPO!L10/DEPO!F10*100</f>
        <v>74.976408991568562</v>
      </c>
      <c r="G10" s="17">
        <f>DEPO!G10/DEPO!D10*100</f>
        <v>40.886535955841715</v>
      </c>
      <c r="H10" s="17">
        <f>DEPO!H10/DEPO!E10*100</f>
        <v>41.537012743118119</v>
      </c>
      <c r="I10" s="17">
        <f>DEPO!I10/DEPO!F10*100</f>
        <v>36.149230793651917</v>
      </c>
      <c r="J10" s="82">
        <f>(INCOME!E10-EXP!D10)/Assets!D10*100</f>
        <v>2.1790263891588197</v>
      </c>
      <c r="K10" s="101">
        <f>(INCOME!F10-EXP!E10)/Assets!E10*100</f>
        <v>1.9240869333716566</v>
      </c>
      <c r="L10" s="107">
        <f>(INCOME!G10-EXP!F10)/Assets!F10*100</f>
        <v>2.338260374475396</v>
      </c>
    </row>
    <row r="11" spans="2:12" s="14" customFormat="1" ht="18.75" customHeight="1" x14ac:dyDescent="0.25">
      <c r="B11" s="51">
        <v>9</v>
      </c>
      <c r="C11" s="49" t="s">
        <v>10</v>
      </c>
      <c r="D11" s="17">
        <f>DEPO!J11/DEPO!D11*100</f>
        <v>64.849977336999473</v>
      </c>
      <c r="E11" s="17">
        <f>DEPO!K11/DEPO!E11*100</f>
        <v>68.220913404467609</v>
      </c>
      <c r="F11" s="17">
        <f>DEPO!L11/DEPO!F11*100</f>
        <v>68.776877233689532</v>
      </c>
      <c r="G11" s="17">
        <f>DEPO!G11/DEPO!D11*100</f>
        <v>30.909157467928942</v>
      </c>
      <c r="H11" s="17">
        <f>DEPO!H11/DEPO!E11*100</f>
        <v>30.686594075147767</v>
      </c>
      <c r="I11" s="17">
        <f>DEPO!I11/DEPO!F11*100</f>
        <v>31.744150386939225</v>
      </c>
      <c r="J11" s="82">
        <f>(INCOME!E11-EXP!D11)/Assets!D11*100</f>
        <v>2.3594807816956394</v>
      </c>
      <c r="K11" s="101">
        <f>(INCOME!F11-EXP!E11)/Assets!E11*100</f>
        <v>2.5664087271292497</v>
      </c>
      <c r="L11" s="107">
        <f>(INCOME!G11-EXP!F11)/Assets!F11*100</f>
        <v>2.3530336999760193</v>
      </c>
    </row>
    <row r="12" spans="2:12" s="14" customFormat="1" ht="18.75" customHeight="1" x14ac:dyDescent="0.25">
      <c r="B12" s="51">
        <v>10</v>
      </c>
      <c r="C12" s="49" t="s">
        <v>11</v>
      </c>
      <c r="D12" s="17">
        <f>DEPO!J12/DEPO!D12*100</f>
        <v>62.513673220909119</v>
      </c>
      <c r="E12" s="17">
        <f>DEPO!K12/DEPO!E12*100</f>
        <v>69.175703684155536</v>
      </c>
      <c r="F12" s="17">
        <f>DEPO!L12/DEPO!F12*100</f>
        <v>73.289153879009817</v>
      </c>
      <c r="G12" s="17">
        <f>DEPO!G12/DEPO!D12*100</f>
        <v>38.168850812556499</v>
      </c>
      <c r="H12" s="17">
        <f>DEPO!H12/DEPO!E12*100</f>
        <v>35.307445447924799</v>
      </c>
      <c r="I12" s="17">
        <f>DEPO!I12/DEPO!F12*100</f>
        <v>32.115483369374722</v>
      </c>
      <c r="J12" s="82">
        <f>(INCOME!E12-EXP!D12)/Assets!D12*100</f>
        <v>2.4406890325726009</v>
      </c>
      <c r="K12" s="101">
        <f>(INCOME!F12-EXP!E12)/Assets!E12*100</f>
        <v>2.5026240266772573</v>
      </c>
      <c r="L12" s="107">
        <f>(INCOME!G12-EXP!F12)/Assets!F12*100</f>
        <v>2.6567096964067756</v>
      </c>
    </row>
    <row r="13" spans="2:12" s="14" customFormat="1" ht="18.75" customHeight="1" x14ac:dyDescent="0.25">
      <c r="B13" s="53">
        <v>11</v>
      </c>
      <c r="C13" s="54" t="s">
        <v>12</v>
      </c>
      <c r="D13" s="39">
        <f>DEPO!J13/DEPO!D13*100</f>
        <v>68.160896138655275</v>
      </c>
      <c r="E13" s="39">
        <f>DEPO!K13/DEPO!E13*100</f>
        <v>71.285785200387934</v>
      </c>
      <c r="F13" s="39">
        <f>DEPO!L13/DEPO!F13*100</f>
        <v>72.801197896220643</v>
      </c>
      <c r="G13" s="39">
        <f>DEPO!G13/DEPO!D13*100</f>
        <v>30.356454847147617</v>
      </c>
      <c r="H13" s="39">
        <f>DEPO!H13/DEPO!E13*100</f>
        <v>27.662356298773478</v>
      </c>
      <c r="I13" s="39">
        <f>DEPO!I13/DEPO!F13*100</f>
        <v>27.057188766902545</v>
      </c>
      <c r="J13" s="85">
        <f>(INCOME!E13-EXP!D13)/Assets!D13*100</f>
        <v>2.558288293729206</v>
      </c>
      <c r="K13" s="102">
        <f>(INCOME!F13-EXP!E13)/Assets!E13*100</f>
        <v>2.627263896152241</v>
      </c>
      <c r="L13" s="108">
        <f>(INCOME!G13-EXP!F13)/Assets!F13*100</f>
        <v>2.4811500034226626</v>
      </c>
    </row>
    <row r="14" spans="2:12" s="14" customFormat="1" ht="18.75" customHeight="1" x14ac:dyDescent="0.25">
      <c r="B14" s="86">
        <v>12</v>
      </c>
      <c r="C14" s="74" t="s">
        <v>13</v>
      </c>
      <c r="D14" s="30">
        <f>DEPO!J14/DEPO!D14*100</f>
        <v>72.319846437494078</v>
      </c>
      <c r="E14" s="30">
        <f>DEPO!K14/DEPO!E14*100</f>
        <v>75.344039566508016</v>
      </c>
      <c r="F14" s="30">
        <f>DEPO!L14/DEPO!F14*100</f>
        <v>77.353493652212208</v>
      </c>
      <c r="G14" s="30">
        <f>DEPO!G14/DEPO!D14*100</f>
        <v>35.498307366375684</v>
      </c>
      <c r="H14" s="30">
        <f>DEPO!H14/DEPO!E14*100</f>
        <v>33.99743331929097</v>
      </c>
      <c r="I14" s="30">
        <f>DEPO!I14/DEPO!F14*100</f>
        <v>31.410503902686454</v>
      </c>
      <c r="J14" s="87">
        <f>(INCOME!E14-EXP!D14)/Assets!D14*100</f>
        <v>2.6253591383833061</v>
      </c>
      <c r="K14" s="103">
        <f>(INCOME!F14-EXP!E14)/Assets!E14*100</f>
        <v>2.5871183912989868</v>
      </c>
      <c r="L14" s="109">
        <f>(INCOME!G14-EXP!F14)/Assets!F14*100</f>
        <v>2.5009537821224606</v>
      </c>
    </row>
    <row r="15" spans="2:12" ht="18" customHeight="1" x14ac:dyDescent="0.25">
      <c r="B15" s="10"/>
      <c r="C15" s="10"/>
    </row>
    <row r="16" spans="2:12" ht="18" customHeight="1" x14ac:dyDescent="0.25">
      <c r="B16" s="10"/>
    </row>
  </sheetData>
  <mergeCells count="3">
    <mergeCell ref="J1:L1"/>
    <mergeCell ref="G1:I1"/>
    <mergeCell ref="D1:F1"/>
  </mergeCells>
  <pageMargins left="0.51181102362204722" right="0.31496062992125984" top="0.39370078740157483" bottom="0" header="0" footer="0.31496062992125984"/>
  <pageSetup paperSize="9" scale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S20"/>
  <sheetViews>
    <sheetView tabSelected="1" zoomScaleNormal="100" zoomScaleSheetLayoutView="90" workbookViewId="0">
      <selection activeCellId="5" sqref="U20 A17 A17:XFD17 A20:XFD20 A2:XFD2 A1:XFD1"/>
    </sheetView>
  </sheetViews>
  <sheetFormatPr defaultColWidth="9.28515625" defaultRowHeight="15.75" x14ac:dyDescent="0.25"/>
  <cols>
    <col min="1" max="1" width="9.28515625" style="14"/>
    <col min="2" max="2" width="7.28515625" style="14" customWidth="1"/>
    <col min="3" max="3" width="38.140625" style="14" customWidth="1"/>
    <col min="4" max="4" width="10.7109375" style="14" customWidth="1"/>
    <col min="5" max="5" width="10.5703125" style="14" customWidth="1"/>
    <col min="6" max="6" width="10.28515625" style="14" customWidth="1"/>
    <col min="7" max="9" width="9.42578125" style="14" customWidth="1"/>
    <col min="10" max="12" width="10.140625" style="19" customWidth="1"/>
    <col min="13" max="13" width="10.140625" style="19" hidden="1" customWidth="1"/>
    <col min="14" max="14" width="10" style="19" hidden="1" customWidth="1"/>
    <col min="15" max="16" width="10" style="14" hidden="1" customWidth="1"/>
    <col min="17" max="19" width="0" style="14" hidden="1" customWidth="1"/>
    <col min="20" max="16384" width="9.28515625" style="14"/>
  </cols>
  <sheetData>
    <row r="1" spans="2:19" ht="20.25" x14ac:dyDescent="0.25">
      <c r="B1" s="142" t="s">
        <v>17</v>
      </c>
      <c r="C1" s="143"/>
      <c r="D1" s="143"/>
      <c r="E1" s="143"/>
      <c r="F1" s="143"/>
      <c r="G1" s="143"/>
      <c r="H1" s="143"/>
      <c r="I1" s="143"/>
      <c r="J1" s="143"/>
      <c r="K1" s="143"/>
      <c r="L1" s="144"/>
      <c r="M1" s="121"/>
      <c r="N1" s="121"/>
      <c r="O1" s="121"/>
      <c r="P1" s="121"/>
    </row>
    <row r="2" spans="2:19" ht="18.600000000000001" customHeight="1" thickBot="1" x14ac:dyDescent="0.3">
      <c r="B2" s="35" t="s">
        <v>0</v>
      </c>
      <c r="C2" s="45"/>
      <c r="D2" s="139" t="s">
        <v>42</v>
      </c>
      <c r="E2" s="140"/>
      <c r="F2" s="140"/>
      <c r="G2" s="140"/>
      <c r="H2" s="140"/>
      <c r="I2" s="140"/>
      <c r="J2" s="140"/>
      <c r="K2" s="140"/>
      <c r="L2" s="141"/>
      <c r="M2" s="118"/>
      <c r="N2" s="118"/>
      <c r="O2" s="118"/>
      <c r="P2" s="118"/>
    </row>
    <row r="3" spans="2:19" s="28" customFormat="1" ht="45.6" customHeight="1" x14ac:dyDescent="0.25">
      <c r="B3" s="50" t="s">
        <v>43</v>
      </c>
      <c r="C3" s="46" t="s">
        <v>14</v>
      </c>
      <c r="D3" s="132" t="s">
        <v>44</v>
      </c>
      <c r="E3" s="132"/>
      <c r="F3" s="132"/>
      <c r="G3" s="130" t="s">
        <v>37</v>
      </c>
      <c r="H3" s="130"/>
      <c r="I3" s="130"/>
      <c r="J3" s="132" t="s">
        <v>38</v>
      </c>
      <c r="K3" s="132"/>
      <c r="L3" s="133"/>
      <c r="M3" s="116"/>
      <c r="N3" s="148" t="s">
        <v>45</v>
      </c>
      <c r="O3" s="149"/>
      <c r="P3" s="150"/>
    </row>
    <row r="4" spans="2:19" ht="18" customHeight="1" thickBot="1" x14ac:dyDescent="0.3">
      <c r="B4" s="22" t="s">
        <v>1</v>
      </c>
      <c r="C4" s="65" t="s">
        <v>2</v>
      </c>
      <c r="D4" s="15">
        <v>2023</v>
      </c>
      <c r="E4" s="15">
        <v>2024</v>
      </c>
      <c r="F4" s="15">
        <v>2025</v>
      </c>
      <c r="G4" s="15">
        <v>2023</v>
      </c>
      <c r="H4" s="15">
        <v>2024</v>
      </c>
      <c r="I4" s="15">
        <v>2025</v>
      </c>
      <c r="J4" s="15">
        <v>2023</v>
      </c>
      <c r="K4" s="15">
        <v>2024</v>
      </c>
      <c r="L4" s="16">
        <v>2025</v>
      </c>
      <c r="M4" s="117"/>
      <c r="N4" s="119">
        <v>2023</v>
      </c>
      <c r="O4" s="15">
        <v>2024</v>
      </c>
      <c r="P4" s="16">
        <v>2025</v>
      </c>
    </row>
    <row r="5" spans="2:19" s="29" customFormat="1" ht="19.5" customHeight="1" x14ac:dyDescent="0.25">
      <c r="B5" s="62">
        <v>1</v>
      </c>
      <c r="C5" s="70" t="s">
        <v>3</v>
      </c>
      <c r="D5" s="38">
        <f>EXP!G3/EXP!J3*100</f>
        <v>33.701755196228667</v>
      </c>
      <c r="E5" s="38">
        <f>EXP!H3/EXP!K3*100</f>
        <v>29.387173953090873</v>
      </c>
      <c r="F5" s="38">
        <f>EXP!I3/EXP!L3*100</f>
        <v>28.272742984339306</v>
      </c>
      <c r="G5" s="38">
        <v>1.03</v>
      </c>
      <c r="H5" s="38">
        <v>1.17</v>
      </c>
      <c r="I5" s="38">
        <v>1.1599999999999999</v>
      </c>
      <c r="J5" s="84">
        <v>16.239999999999998</v>
      </c>
      <c r="K5" s="84">
        <v>16.309999999999999</v>
      </c>
      <c r="L5" s="120">
        <v>17.190000000000001</v>
      </c>
      <c r="M5" s="26"/>
      <c r="N5" s="122">
        <v>92.43</v>
      </c>
      <c r="O5" s="111">
        <v>93.3</v>
      </c>
      <c r="P5" s="110">
        <v>93.29</v>
      </c>
      <c r="Q5" s="126">
        <f>EXP!G3/EXP!J3*100-'Ratio II'!D5</f>
        <v>0</v>
      </c>
      <c r="R5" s="126">
        <f>EXP!H3/EXP!K3*100-'Ratio II'!E5</f>
        <v>0</v>
      </c>
      <c r="S5" s="126">
        <f>EXP!I3/EXP!L3*100-'Ratio II'!F5</f>
        <v>0</v>
      </c>
    </row>
    <row r="6" spans="2:19" ht="19.5" customHeight="1" x14ac:dyDescent="0.25">
      <c r="B6" s="51">
        <v>2</v>
      </c>
      <c r="C6" s="49" t="s">
        <v>4</v>
      </c>
      <c r="D6" s="17">
        <f>EXP!G4/EXP!J4*100</f>
        <v>33.810115780465672</v>
      </c>
      <c r="E6" s="17">
        <f>EXP!H4/EXP!K4*100</f>
        <v>28.593820546335476</v>
      </c>
      <c r="F6" s="17">
        <f>EXP!I4/EXP!L4*100</f>
        <v>26.771875578103078</v>
      </c>
      <c r="G6" s="17">
        <v>0.49</v>
      </c>
      <c r="H6" s="17">
        <v>0.7</v>
      </c>
      <c r="I6" s="17">
        <v>0.9</v>
      </c>
      <c r="J6" s="66">
        <v>16.28</v>
      </c>
      <c r="K6" s="66">
        <v>16.96</v>
      </c>
      <c r="L6" s="40">
        <v>17.77</v>
      </c>
      <c r="M6" s="26"/>
      <c r="N6" s="123">
        <v>89.68</v>
      </c>
      <c r="O6" s="88">
        <v>90.59</v>
      </c>
      <c r="P6" s="100">
        <v>92.39</v>
      </c>
      <c r="Q6" s="126">
        <f>EXP!G4/EXP!J4*100-'Ratio II'!D6</f>
        <v>0</v>
      </c>
      <c r="R6" s="126">
        <f>EXP!H4/EXP!K4*100-'Ratio II'!E6</f>
        <v>0</v>
      </c>
      <c r="S6" s="126">
        <f>EXP!I4/EXP!L4*100-'Ratio II'!F6</f>
        <v>0</v>
      </c>
    </row>
    <row r="7" spans="2:19" ht="19.5" customHeight="1" x14ac:dyDescent="0.25">
      <c r="B7" s="51">
        <v>3</v>
      </c>
      <c r="C7" s="49" t="s">
        <v>5</v>
      </c>
      <c r="D7" s="17">
        <f>EXP!G5/EXP!J5*100</f>
        <v>32.46685298753593</v>
      </c>
      <c r="E7" s="17">
        <f>EXP!H5/EXP!K5*100</f>
        <v>31.08614715875412</v>
      </c>
      <c r="F7" s="17">
        <f>EXP!I5/EXP!L5*100</f>
        <v>30.397917683081804</v>
      </c>
      <c r="G7" s="17">
        <v>1.1000000000000001</v>
      </c>
      <c r="H7" s="17">
        <v>1.5</v>
      </c>
      <c r="I7" s="17">
        <v>1.75</v>
      </c>
      <c r="J7" s="66">
        <v>18.14</v>
      </c>
      <c r="K7" s="66">
        <v>17.38</v>
      </c>
      <c r="L7" s="40">
        <v>20.53</v>
      </c>
      <c r="M7" s="26"/>
      <c r="N7" s="123">
        <v>98.28</v>
      </c>
      <c r="O7" s="88">
        <v>98.34</v>
      </c>
      <c r="P7" s="100">
        <v>98.26</v>
      </c>
      <c r="Q7" s="126">
        <f>EXP!G5/EXP!J5*100-'Ratio II'!D7</f>
        <v>0</v>
      </c>
      <c r="R7" s="126">
        <f>EXP!H5/EXP!K5*100-'Ratio II'!E7</f>
        <v>0</v>
      </c>
      <c r="S7" s="126">
        <f>EXP!I5/EXP!L5*100-'Ratio II'!F7</f>
        <v>0</v>
      </c>
    </row>
    <row r="8" spans="2:19" ht="19.5" customHeight="1" x14ac:dyDescent="0.25">
      <c r="B8" s="51">
        <v>4</v>
      </c>
      <c r="C8" s="49" t="s">
        <v>6</v>
      </c>
      <c r="D8" s="17">
        <f>EXP!G6/EXP!J6*100</f>
        <v>29.788248382126266</v>
      </c>
      <c r="E8" s="17">
        <f>EXP!H6/EXP!K6*100</f>
        <v>26.587252388953054</v>
      </c>
      <c r="F8" s="17">
        <f>EXP!I6/EXP!L6*100</f>
        <v>25.388112954249781</v>
      </c>
      <c r="G8" s="17">
        <v>0.81</v>
      </c>
      <c r="H8" s="17">
        <v>1.01</v>
      </c>
      <c r="I8" s="17">
        <v>1.0900000000000001</v>
      </c>
      <c r="J8" s="66">
        <v>16.68</v>
      </c>
      <c r="K8" s="66">
        <v>16.28</v>
      </c>
      <c r="L8" s="40">
        <v>16.329999999999998</v>
      </c>
      <c r="M8" s="26"/>
      <c r="N8" s="123">
        <v>87.31</v>
      </c>
      <c r="O8" s="88">
        <v>89.1</v>
      </c>
      <c r="P8" s="100">
        <v>92.7</v>
      </c>
      <c r="Q8" s="126">
        <f>EXP!G6/EXP!J6*100-'Ratio II'!D8</f>
        <v>0</v>
      </c>
      <c r="R8" s="126">
        <f>EXP!H6/EXP!K6*100-'Ratio II'!E8</f>
        <v>0</v>
      </c>
      <c r="S8" s="126">
        <f>EXP!I6/EXP!L6*100-'Ratio II'!F8</f>
        <v>0</v>
      </c>
    </row>
    <row r="9" spans="2:19" ht="19.5" customHeight="1" x14ac:dyDescent="0.25">
      <c r="B9" s="51">
        <v>5</v>
      </c>
      <c r="C9" s="49" t="s">
        <v>7</v>
      </c>
      <c r="D9" s="17">
        <f>EXP!G7/EXP!J7*100</f>
        <v>39.076609456402821</v>
      </c>
      <c r="E9" s="17">
        <f>EXP!H7/EXP!K7*100</f>
        <v>36.496676443126191</v>
      </c>
      <c r="F9" s="17">
        <f>EXP!I7/EXP!L7*100</f>
        <v>37.033768174612611</v>
      </c>
      <c r="G9" s="17">
        <v>0.44</v>
      </c>
      <c r="H9" s="17">
        <v>0.63</v>
      </c>
      <c r="I9" s="17">
        <v>0.86</v>
      </c>
      <c r="J9" s="66">
        <v>14.12</v>
      </c>
      <c r="K9" s="66">
        <v>15.08</v>
      </c>
      <c r="L9" s="40">
        <v>17.02</v>
      </c>
      <c r="M9" s="26"/>
      <c r="N9" s="123">
        <v>92.48</v>
      </c>
      <c r="O9" s="88">
        <v>93.58</v>
      </c>
      <c r="P9" s="100">
        <v>96.54</v>
      </c>
      <c r="Q9" s="126">
        <f>EXP!G7/EXP!J7*100-'Ratio II'!D9</f>
        <v>0</v>
      </c>
      <c r="R9" s="126">
        <f>EXP!H7/EXP!K7*100-'Ratio II'!E9</f>
        <v>0</v>
      </c>
      <c r="S9" s="126">
        <f>EXP!I7/EXP!L7*100-'Ratio II'!F9</f>
        <v>0</v>
      </c>
    </row>
    <row r="10" spans="2:19" ht="19.5" customHeight="1" x14ac:dyDescent="0.25">
      <c r="B10" s="51">
        <v>6</v>
      </c>
      <c r="C10" s="49" t="s">
        <v>8</v>
      </c>
      <c r="D10" s="17">
        <f>EXP!G8/EXP!J8*100</f>
        <v>32.861646110991138</v>
      </c>
      <c r="E10" s="17">
        <f>EXP!H8/EXP!K8*100</f>
        <v>30.660081750441393</v>
      </c>
      <c r="F10" s="17">
        <f>EXP!I8/EXP!L8*100</f>
        <v>29.489574828863908</v>
      </c>
      <c r="G10" s="17">
        <v>0.77</v>
      </c>
      <c r="H10" s="17">
        <v>1.07</v>
      </c>
      <c r="I10" s="17">
        <v>1.32</v>
      </c>
      <c r="J10" s="66">
        <v>16.489999999999998</v>
      </c>
      <c r="K10" s="66">
        <v>16.440000000000001</v>
      </c>
      <c r="L10" s="40">
        <v>17.940000000000001</v>
      </c>
      <c r="M10" s="26"/>
      <c r="N10" s="123">
        <v>93.82</v>
      </c>
      <c r="O10" s="88">
        <v>96.34</v>
      </c>
      <c r="P10" s="40">
        <v>98.1</v>
      </c>
      <c r="Q10" s="126">
        <f>EXP!G8/EXP!J8*100-'Ratio II'!D10</f>
        <v>0</v>
      </c>
      <c r="R10" s="126">
        <f>EXP!H8/EXP!K8*100-'Ratio II'!E10</f>
        <v>0</v>
      </c>
      <c r="S10" s="126">
        <f>EXP!I8/EXP!L8*100-'Ratio II'!F10</f>
        <v>0</v>
      </c>
    </row>
    <row r="11" spans="2:19" ht="19.5" customHeight="1" x14ac:dyDescent="0.25">
      <c r="B11" s="51">
        <v>7</v>
      </c>
      <c r="C11" s="49" t="s">
        <v>9</v>
      </c>
      <c r="D11" s="17">
        <f>EXP!G9/EXP!J9*100</f>
        <v>36.554315217824431</v>
      </c>
      <c r="E11" s="17">
        <f>EXP!H9/EXP!K9*100</f>
        <v>38.016836201188816</v>
      </c>
      <c r="F11" s="17">
        <f>EXP!I9/EXP!L9*100</f>
        <v>31.00387504917347</v>
      </c>
      <c r="G11" s="93">
        <v>0.68</v>
      </c>
      <c r="H11" s="17">
        <v>0.81</v>
      </c>
      <c r="I11" s="17">
        <v>0.92</v>
      </c>
      <c r="J11" s="66">
        <v>16.100000000000001</v>
      </c>
      <c r="K11" s="66">
        <v>17.28</v>
      </c>
      <c r="L11" s="40">
        <v>19.739999999999998</v>
      </c>
      <c r="M11" s="26"/>
      <c r="N11" s="123">
        <v>92.63</v>
      </c>
      <c r="O11" s="88">
        <v>96.85</v>
      </c>
      <c r="P11" s="40">
        <v>97.3</v>
      </c>
      <c r="Q11" s="126">
        <f>EXP!G9/EXP!J9*100-'Ratio II'!D11</f>
        <v>0</v>
      </c>
      <c r="R11" s="126">
        <f>EXP!H9/EXP!K9*100-'Ratio II'!E11</f>
        <v>0</v>
      </c>
      <c r="S11" s="126">
        <f>EXP!I9/EXP!L9*100-'Ratio II'!F11</f>
        <v>0</v>
      </c>
    </row>
    <row r="12" spans="2:19" ht="19.5" customHeight="1" x14ac:dyDescent="0.25">
      <c r="B12" s="51">
        <v>8</v>
      </c>
      <c r="C12" s="49" t="s">
        <v>18</v>
      </c>
      <c r="D12" s="17">
        <f>EXP!G10/EXP!J10*100</f>
        <v>32.921051752363773</v>
      </c>
      <c r="E12" s="17">
        <f>EXP!H10/EXP!K10*100</f>
        <v>29.961336847731772</v>
      </c>
      <c r="F12" s="17">
        <f>EXP!I10/EXP!L10*100</f>
        <v>29.855850585427589</v>
      </c>
      <c r="G12" s="17">
        <v>0.98</v>
      </c>
      <c r="H12" s="17">
        <v>0.41</v>
      </c>
      <c r="I12" s="17">
        <v>0.67</v>
      </c>
      <c r="J12" s="66">
        <v>17.100000000000001</v>
      </c>
      <c r="K12" s="66">
        <v>17.16</v>
      </c>
      <c r="L12" s="40">
        <v>17.41</v>
      </c>
      <c r="M12" s="26"/>
      <c r="N12" s="123">
        <v>89.06</v>
      </c>
      <c r="O12" s="88">
        <v>88.69</v>
      </c>
      <c r="P12" s="40">
        <v>91.38</v>
      </c>
      <c r="Q12" s="126">
        <f>EXP!G10/EXP!J10*100-'Ratio II'!D12</f>
        <v>0</v>
      </c>
      <c r="R12" s="126">
        <f>EXP!H10/EXP!K10*100-'Ratio II'!E12</f>
        <v>0</v>
      </c>
      <c r="S12" s="126">
        <f>EXP!I10/EXP!L10*100-'Ratio II'!F12</f>
        <v>0</v>
      </c>
    </row>
    <row r="13" spans="2:19" ht="19.5" customHeight="1" x14ac:dyDescent="0.25">
      <c r="B13" s="51">
        <v>9</v>
      </c>
      <c r="C13" s="49" t="s">
        <v>10</v>
      </c>
      <c r="D13" s="17">
        <f>EXP!G11/EXP!J11*100</f>
        <v>32.244636653067651</v>
      </c>
      <c r="E13" s="17">
        <f>EXP!H11/EXP!K11*100</f>
        <v>29.926060006701316</v>
      </c>
      <c r="F13" s="17">
        <f>EXP!I11/EXP!L11*100</f>
        <v>29.001290279894459</v>
      </c>
      <c r="G13" s="17">
        <v>0.18</v>
      </c>
      <c r="H13" s="17">
        <v>0.54</v>
      </c>
      <c r="I13" s="17">
        <v>0.97</v>
      </c>
      <c r="J13" s="66">
        <v>15.5</v>
      </c>
      <c r="K13" s="66">
        <v>15.97</v>
      </c>
      <c r="L13" s="40">
        <v>17.010000000000002</v>
      </c>
      <c r="M13" s="26"/>
      <c r="N13" s="123">
        <v>86.9</v>
      </c>
      <c r="O13" s="88">
        <v>95.39</v>
      </c>
      <c r="P13" s="40">
        <v>96.82</v>
      </c>
      <c r="Q13" s="126">
        <f>EXP!G11/EXP!J11*100-'Ratio II'!D13</f>
        <v>0</v>
      </c>
      <c r="R13" s="126">
        <f>EXP!H11/EXP!K11*100-'Ratio II'!E13</f>
        <v>0</v>
      </c>
      <c r="S13" s="126">
        <f>EXP!I11/EXP!L11*100-'Ratio II'!F13</f>
        <v>0</v>
      </c>
    </row>
    <row r="14" spans="2:19" ht="19.5" customHeight="1" x14ac:dyDescent="0.25">
      <c r="B14" s="51">
        <v>10</v>
      </c>
      <c r="C14" s="49" t="s">
        <v>11</v>
      </c>
      <c r="D14" s="17">
        <f>EXP!G12/EXP!J12*100</f>
        <v>34.838867110329744</v>
      </c>
      <c r="E14" s="17">
        <f>EXP!H12/EXP!K12*100</f>
        <v>33.051948462856863</v>
      </c>
      <c r="F14" s="17">
        <f>EXP!I12/EXP!L12*100</f>
        <v>34.132650971316217</v>
      </c>
      <c r="G14" s="17">
        <v>0.62</v>
      </c>
      <c r="H14" s="17">
        <v>0.56000000000000005</v>
      </c>
      <c r="I14" s="17">
        <v>0.76</v>
      </c>
      <c r="J14" s="66">
        <v>16.510000000000002</v>
      </c>
      <c r="K14" s="66">
        <v>16.98</v>
      </c>
      <c r="L14" s="40">
        <v>18.489999999999998</v>
      </c>
      <c r="M14" s="26"/>
      <c r="N14" s="123">
        <v>94.5</v>
      </c>
      <c r="O14" s="88">
        <v>95.38</v>
      </c>
      <c r="P14" s="40">
        <v>96.69</v>
      </c>
      <c r="Q14" s="126">
        <f>EXP!G12/EXP!J12*100-'Ratio II'!D14</f>
        <v>0</v>
      </c>
      <c r="R14" s="126">
        <f>EXP!H12/EXP!K12*100-'Ratio II'!E14</f>
        <v>0</v>
      </c>
      <c r="S14" s="126">
        <f>EXP!I12/EXP!L12*100-'Ratio II'!F14</f>
        <v>0</v>
      </c>
    </row>
    <row r="15" spans="2:19" ht="19.5" customHeight="1" x14ac:dyDescent="0.25">
      <c r="B15" s="51">
        <v>11</v>
      </c>
      <c r="C15" s="49" t="s">
        <v>12</v>
      </c>
      <c r="D15" s="17">
        <f>EXP!G13/EXP!J13*100</f>
        <v>31.371105973980875</v>
      </c>
      <c r="E15" s="17">
        <f>EXP!H13/EXP!K13*100</f>
        <v>27.884371400354514</v>
      </c>
      <c r="F15" s="17">
        <f>EXP!I13/EXP!L13*100</f>
        <v>26.891507778475326</v>
      </c>
      <c r="G15" s="17">
        <v>0.69</v>
      </c>
      <c r="H15" s="17">
        <v>1.03</v>
      </c>
      <c r="I15" s="17">
        <v>1.26</v>
      </c>
      <c r="J15" s="66">
        <v>16.04</v>
      </c>
      <c r="K15" s="66">
        <v>16.97</v>
      </c>
      <c r="L15" s="40">
        <v>18.02</v>
      </c>
      <c r="M15" s="26"/>
      <c r="N15" s="123">
        <v>90.34</v>
      </c>
      <c r="O15" s="88">
        <v>92.69</v>
      </c>
      <c r="P15" s="40">
        <v>94.61</v>
      </c>
      <c r="Q15" s="126">
        <f>EXP!G13/EXP!J13*100-'Ratio II'!D15</f>
        <v>0</v>
      </c>
      <c r="R15" s="126">
        <f>EXP!H13/EXP!K13*100-'Ratio II'!E15</f>
        <v>0</v>
      </c>
      <c r="S15" s="126">
        <f>EXP!I13/EXP!L13*100-'Ratio II'!F15</f>
        <v>0</v>
      </c>
    </row>
    <row r="16" spans="2:19" ht="19.5" customHeight="1" thickBot="1" x14ac:dyDescent="0.3">
      <c r="B16" s="53">
        <v>12</v>
      </c>
      <c r="C16" s="54" t="s">
        <v>13</v>
      </c>
      <c r="D16" s="39" t="e">
        <f>EXP!#REF!/EXP!#REF!*100</f>
        <v>#REF!</v>
      </c>
      <c r="E16" s="39" t="e">
        <f>EXP!#REF!/EXP!#REF!*100</f>
        <v>#REF!</v>
      </c>
      <c r="F16" s="39" t="e">
        <f>EXP!#REF!/EXP!#REF!*100</f>
        <v>#REF!</v>
      </c>
      <c r="G16" s="39">
        <v>0.96</v>
      </c>
      <c r="H16" s="39">
        <v>1.04</v>
      </c>
      <c r="I16" s="39">
        <v>1.1000000000000001</v>
      </c>
      <c r="J16" s="127">
        <v>14.68</v>
      </c>
      <c r="K16" s="127">
        <v>14.28</v>
      </c>
      <c r="L16" s="128">
        <v>14.25</v>
      </c>
      <c r="M16" s="26"/>
      <c r="N16" s="124">
        <v>91.91</v>
      </c>
      <c r="O16" s="112">
        <v>91.89</v>
      </c>
      <c r="P16" s="113">
        <v>92.08</v>
      </c>
      <c r="Q16" s="126" t="e">
        <f>EXP!#REF!/EXP!#REF!*100-'Ratio II'!D16</f>
        <v>#REF!</v>
      </c>
      <c r="R16" s="126" t="e">
        <f>EXP!#REF!/EXP!#REF!*100-'Ratio II'!E16</f>
        <v>#REF!</v>
      </c>
      <c r="S16" s="126" t="e">
        <f>EXP!#REF!/EXP!#REF!*100-'Ratio II'!F16</f>
        <v>#REF!</v>
      </c>
    </row>
    <row r="17" spans="2:19" ht="20.45" customHeight="1" thickBot="1" x14ac:dyDescent="0.3">
      <c r="B17" s="61"/>
      <c r="C17" s="60" t="s">
        <v>39</v>
      </c>
      <c r="D17" s="18">
        <f>EXP!G14/EXP!J14*100</f>
        <v>34.295152693437359</v>
      </c>
      <c r="E17" s="18">
        <f>EXP!H14/EXP!K14*100</f>
        <v>31.569959465545715</v>
      </c>
      <c r="F17" s="18">
        <f>EXP!I14/EXP!L14*100</f>
        <v>28.547146590972282</v>
      </c>
      <c r="G17" s="145"/>
      <c r="H17" s="146"/>
      <c r="I17" s="146"/>
      <c r="J17" s="146"/>
      <c r="K17" s="146"/>
      <c r="L17" s="147"/>
      <c r="M17" s="34"/>
      <c r="N17" s="34"/>
      <c r="O17" s="34"/>
      <c r="P17" s="34"/>
      <c r="Q17" s="126">
        <f>EXP!G14/EXP!J14*100-'Ratio II'!D17</f>
        <v>0</v>
      </c>
      <c r="R17" s="126">
        <f>EXP!H14/EXP!K14*100-'Ratio II'!E17</f>
        <v>0</v>
      </c>
      <c r="S17" s="126">
        <f>EXP!I14/EXP!L14*100-'Ratio II'!F17</f>
        <v>0</v>
      </c>
    </row>
    <row r="18" spans="2:19" ht="18" customHeight="1" x14ac:dyDescent="0.25">
      <c r="B18" s="10"/>
      <c r="C18" s="23"/>
    </row>
    <row r="19" spans="2:19" x14ac:dyDescent="0.25">
      <c r="B19" s="134"/>
      <c r="C19" s="134"/>
      <c r="D19" s="134"/>
      <c r="E19" s="134"/>
      <c r="F19" s="134"/>
      <c r="G19" s="134"/>
      <c r="H19" s="134"/>
      <c r="I19" s="134"/>
      <c r="J19" s="134"/>
      <c r="K19" s="134"/>
      <c r="L19" s="134"/>
      <c r="M19" s="115"/>
    </row>
    <row r="20" spans="2:19" x14ac:dyDescent="0.25">
      <c r="B20" s="129">
        <v>7</v>
      </c>
      <c r="C20" s="129"/>
      <c r="D20" s="129"/>
      <c r="E20" s="129"/>
      <c r="F20" s="129"/>
      <c r="G20" s="129"/>
      <c r="H20" s="129"/>
      <c r="I20" s="129"/>
      <c r="J20" s="129"/>
      <c r="K20" s="129"/>
      <c r="L20" s="129"/>
      <c r="M20" s="125"/>
      <c r="N20" s="125"/>
      <c r="O20" s="125"/>
      <c r="P20" s="125"/>
    </row>
  </sheetData>
  <mergeCells count="9">
    <mergeCell ref="D2:L2"/>
    <mergeCell ref="B1:L1"/>
    <mergeCell ref="G17:L17"/>
    <mergeCell ref="B20:L20"/>
    <mergeCell ref="N3:P3"/>
    <mergeCell ref="B19:L19"/>
    <mergeCell ref="D3:F3"/>
    <mergeCell ref="J3:L3"/>
    <mergeCell ref="G3:I3"/>
  </mergeCells>
  <pageMargins left="0.51181102362204722" right="0.31496062992125984" top="0.59055118110236227" bottom="0" header="0" footer="0.31496062992125984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K17"/>
  <sheetViews>
    <sheetView topLeftCell="B1" zoomScaleNormal="100" workbookViewId="0">
      <selection activeCell="B16" sqref="A16:XFD1048576"/>
    </sheetView>
  </sheetViews>
  <sheetFormatPr defaultColWidth="0" defaultRowHeight="15.75" zeroHeight="1" x14ac:dyDescent="0.25"/>
  <cols>
    <col min="1" max="1" width="8" style="14" customWidth="1"/>
    <col min="2" max="2" width="37.85546875" style="14" customWidth="1"/>
    <col min="3" max="3" width="11.140625" style="14" customWidth="1"/>
    <col min="4" max="8" width="10.7109375" style="14" customWidth="1"/>
    <col min="9" max="10" width="11" style="14" customWidth="1"/>
    <col min="11" max="11" width="6" style="14" bestFit="1" customWidth="1"/>
    <col min="12" max="16384" width="9.28515625" style="14" hidden="1"/>
  </cols>
  <sheetData>
    <row r="1" spans="1:11" s="28" customFormat="1" ht="35.450000000000003" customHeight="1" x14ac:dyDescent="0.25">
      <c r="A1" s="46" t="s">
        <v>43</v>
      </c>
      <c r="B1" s="46" t="s">
        <v>14</v>
      </c>
      <c r="C1" s="130" t="s">
        <v>15</v>
      </c>
      <c r="D1" s="130"/>
      <c r="E1" s="130"/>
      <c r="F1" s="130" t="s">
        <v>40</v>
      </c>
      <c r="G1" s="130"/>
      <c r="H1" s="130"/>
      <c r="I1" s="130" t="s">
        <v>41</v>
      </c>
      <c r="J1" s="130"/>
      <c r="K1" s="130"/>
    </row>
    <row r="2" spans="1:11" ht="19.149999999999999" customHeight="1" x14ac:dyDescent="0.25">
      <c r="A2" s="151" t="s">
        <v>1</v>
      </c>
      <c r="B2" s="45" t="s">
        <v>2</v>
      </c>
      <c r="C2" s="151">
        <v>2023</v>
      </c>
      <c r="D2" s="151">
        <v>2024</v>
      </c>
      <c r="E2" s="151">
        <v>2025</v>
      </c>
      <c r="F2" s="151">
        <v>2023</v>
      </c>
      <c r="G2" s="151">
        <v>2024</v>
      </c>
      <c r="H2" s="151">
        <v>2025</v>
      </c>
      <c r="I2" s="151">
        <v>2023</v>
      </c>
      <c r="J2" s="151">
        <v>2024</v>
      </c>
      <c r="K2" s="151">
        <v>2025</v>
      </c>
    </row>
    <row r="3" spans="1:11" ht="19.149999999999999" customHeight="1" x14ac:dyDescent="0.25">
      <c r="A3" s="152">
        <v>1</v>
      </c>
      <c r="B3" s="47" t="s">
        <v>3</v>
      </c>
      <c r="C3" s="17">
        <f>Assets!J3/DEPO!J3*100</f>
        <v>0.89100270078073562</v>
      </c>
      <c r="D3" s="17">
        <v>0.68</v>
      </c>
      <c r="E3" s="17">
        <v>0.57999999999999996</v>
      </c>
      <c r="F3" s="17">
        <v>26.66</v>
      </c>
      <c r="G3" s="17">
        <v>30.46</v>
      </c>
      <c r="H3" s="17">
        <v>34.33</v>
      </c>
      <c r="I3" s="88">
        <v>18.059999999999999</v>
      </c>
      <c r="J3" s="88">
        <v>23.56</v>
      </c>
      <c r="K3" s="153">
        <v>26.11</v>
      </c>
    </row>
    <row r="4" spans="1:11" ht="19.149999999999999" customHeight="1" x14ac:dyDescent="0.25">
      <c r="A4" s="152">
        <v>2</v>
      </c>
      <c r="B4" s="47" t="s">
        <v>4</v>
      </c>
      <c r="C4" s="17">
        <f>Assets!J4/DEPO!J4*100</f>
        <v>1.6574636688349882</v>
      </c>
      <c r="D4" s="17">
        <v>1.22</v>
      </c>
      <c r="E4" s="17">
        <v>0.82</v>
      </c>
      <c r="F4" s="17">
        <v>22.47</v>
      </c>
      <c r="G4" s="17">
        <v>25.87</v>
      </c>
      <c r="H4" s="17">
        <v>29.19</v>
      </c>
      <c r="I4" s="88">
        <v>7.6</v>
      </c>
      <c r="J4" s="89">
        <v>12.35</v>
      </c>
      <c r="K4" s="154">
        <v>18.149999999999999</v>
      </c>
    </row>
    <row r="5" spans="1:11" ht="19.149999999999999" customHeight="1" x14ac:dyDescent="0.25">
      <c r="A5" s="152">
        <v>3</v>
      </c>
      <c r="B5" s="47" t="s">
        <v>5</v>
      </c>
      <c r="C5" s="17">
        <f>Assets!J5/DEPO!J5*100</f>
        <v>0.25416323858562173</v>
      </c>
      <c r="D5" s="17">
        <v>0.2</v>
      </c>
      <c r="E5" s="17">
        <v>0.18</v>
      </c>
      <c r="F5" s="93">
        <v>31.45</v>
      </c>
      <c r="G5" s="17">
        <v>35</v>
      </c>
      <c r="H5" s="17">
        <v>37.44</v>
      </c>
      <c r="I5" s="88">
        <v>20.05</v>
      </c>
      <c r="J5" s="88">
        <v>30.04</v>
      </c>
      <c r="K5" s="153">
        <v>37.83</v>
      </c>
    </row>
    <row r="6" spans="1:11" ht="19.149999999999999" customHeight="1" x14ac:dyDescent="0.25">
      <c r="A6" s="152">
        <v>4</v>
      </c>
      <c r="B6" s="47" t="s">
        <v>6</v>
      </c>
      <c r="C6" s="17">
        <f>Assets!J6/DEPO!J6*100</f>
        <v>1.7274351969377104</v>
      </c>
      <c r="D6" s="17">
        <v>1.27</v>
      </c>
      <c r="E6" s="17">
        <v>0.7</v>
      </c>
      <c r="F6" s="17">
        <v>22.45</v>
      </c>
      <c r="G6" s="17">
        <v>25.97</v>
      </c>
      <c r="H6" s="17">
        <v>29.3</v>
      </c>
      <c r="I6" s="94">
        <v>12</v>
      </c>
      <c r="J6" s="88">
        <v>18</v>
      </c>
      <c r="K6" s="88">
        <v>21</v>
      </c>
    </row>
    <row r="7" spans="1:11" ht="19.149999999999999" customHeight="1" x14ac:dyDescent="0.25">
      <c r="A7" s="152">
        <v>5</v>
      </c>
      <c r="B7" s="47" t="s">
        <v>7</v>
      </c>
      <c r="C7" s="17">
        <f>Assets!J7/DEPO!J7*100</f>
        <v>1.7869459959737772</v>
      </c>
      <c r="D7" s="93">
        <v>1.23</v>
      </c>
      <c r="E7" s="93">
        <f>Assets!L7/DEPO!L7*100</f>
        <v>0.54644172168197658</v>
      </c>
      <c r="F7" s="17">
        <v>18.45</v>
      </c>
      <c r="G7" s="17">
        <v>20.14</v>
      </c>
      <c r="H7" s="17">
        <v>21.24</v>
      </c>
      <c r="I7" s="88">
        <v>5.07</v>
      </c>
      <c r="J7" s="88">
        <v>8.06</v>
      </c>
      <c r="K7" s="153">
        <v>10.130000000000001</v>
      </c>
    </row>
    <row r="8" spans="1:11" ht="19.149999999999999" customHeight="1" x14ac:dyDescent="0.25">
      <c r="A8" s="152">
        <v>6</v>
      </c>
      <c r="B8" s="47" t="s">
        <v>8</v>
      </c>
      <c r="C8" s="17">
        <f>Assets!J8/DEPO!J8*100</f>
        <v>0.89986633109927161</v>
      </c>
      <c r="D8" s="17">
        <v>0.43</v>
      </c>
      <c r="E8" s="17">
        <f>Assets!L8/DEPO!L8*100</f>
        <v>0.19429451518995383</v>
      </c>
      <c r="F8" s="17">
        <v>26.61</v>
      </c>
      <c r="G8" s="17">
        <v>29.85</v>
      </c>
      <c r="H8" s="17">
        <v>32.42</v>
      </c>
      <c r="I8" s="88">
        <v>14.2</v>
      </c>
      <c r="J8" s="88">
        <v>20.03</v>
      </c>
      <c r="K8" s="153">
        <v>27.25</v>
      </c>
    </row>
    <row r="9" spans="1:11" ht="19.149999999999999" customHeight="1" x14ac:dyDescent="0.25">
      <c r="A9" s="152">
        <v>7</v>
      </c>
      <c r="B9" s="47" t="s">
        <v>9</v>
      </c>
      <c r="C9" s="17">
        <f>Assets!J9/DEPO!J9*100</f>
        <v>1.8342953432236333</v>
      </c>
      <c r="D9" s="17">
        <v>0.56999999999999995</v>
      </c>
      <c r="E9" s="17">
        <f>Assets!L9/DEPO!L9*100</f>
        <v>0.37134628442154155</v>
      </c>
      <c r="F9" s="17">
        <v>20.21</v>
      </c>
      <c r="G9" s="17">
        <v>23.54</v>
      </c>
      <c r="H9" s="17">
        <v>26.8</v>
      </c>
      <c r="I9" s="89">
        <v>9</v>
      </c>
      <c r="J9" s="89">
        <v>12</v>
      </c>
      <c r="K9" s="89">
        <v>16</v>
      </c>
    </row>
    <row r="10" spans="1:11" ht="19.149999999999999" customHeight="1" x14ac:dyDescent="0.25">
      <c r="A10" s="152">
        <v>8</v>
      </c>
      <c r="B10" s="49" t="s">
        <v>18</v>
      </c>
      <c r="C10" s="17">
        <f>Assets!J10/DEPO!J10*100</f>
        <v>1.8374257658511657</v>
      </c>
      <c r="D10" s="17">
        <v>1.63</v>
      </c>
      <c r="E10" s="17">
        <f>Assets!L10/DEPO!L10*100</f>
        <v>0.96307395999379253</v>
      </c>
      <c r="F10" s="17">
        <v>21.45</v>
      </c>
      <c r="G10" s="17">
        <v>23.35</v>
      </c>
      <c r="H10" s="17">
        <v>25.71</v>
      </c>
      <c r="I10" s="88">
        <v>14.81</v>
      </c>
      <c r="J10" s="88">
        <v>6.8</v>
      </c>
      <c r="K10" s="153">
        <v>11.45</v>
      </c>
    </row>
    <row r="11" spans="1:11" ht="19.149999999999999" customHeight="1" x14ac:dyDescent="0.25">
      <c r="A11" s="152">
        <v>9</v>
      </c>
      <c r="B11" s="49" t="s">
        <v>10</v>
      </c>
      <c r="C11" s="17">
        <f>Assets!J11/DEPO!J11*100</f>
        <v>2.7183577638459133</v>
      </c>
      <c r="D11" s="17">
        <v>0.73</v>
      </c>
      <c r="E11" s="17">
        <f>Assets!L11/DEPO!L11*100</f>
        <v>0.398204293582539</v>
      </c>
      <c r="F11" s="17">
        <v>21.64</v>
      </c>
      <c r="G11" s="17">
        <v>23.84</v>
      </c>
      <c r="H11" s="17">
        <v>26.86</v>
      </c>
      <c r="I11" s="89">
        <v>2.57</v>
      </c>
      <c r="J11" s="88">
        <v>8.61</v>
      </c>
      <c r="K11" s="153">
        <v>17.29</v>
      </c>
    </row>
    <row r="12" spans="1:11" ht="19.149999999999999" customHeight="1" x14ac:dyDescent="0.25">
      <c r="A12" s="152">
        <v>10</v>
      </c>
      <c r="B12" s="47" t="s">
        <v>11</v>
      </c>
      <c r="C12" s="17">
        <f>Assets!J12/DEPO!J12*100</f>
        <v>1.2946799702162404</v>
      </c>
      <c r="D12" s="17">
        <v>0.89</v>
      </c>
      <c r="E12" s="17">
        <f>Assets!L12/DEPO!L12*100</f>
        <v>0.49647992433387511</v>
      </c>
      <c r="F12" s="17">
        <v>18.899999999999999</v>
      </c>
      <c r="G12" s="17">
        <v>20.93</v>
      </c>
      <c r="H12" s="17">
        <v>24.35</v>
      </c>
      <c r="I12" s="88">
        <v>8.56</v>
      </c>
      <c r="J12" s="88">
        <v>7.69</v>
      </c>
      <c r="K12" s="153">
        <v>11.59</v>
      </c>
    </row>
    <row r="13" spans="1:11" ht="19.149999999999999" customHeight="1" x14ac:dyDescent="0.25">
      <c r="A13" s="152">
        <v>11</v>
      </c>
      <c r="B13" s="49" t="s">
        <v>12</v>
      </c>
      <c r="C13" s="17">
        <f>Assets!J13/DEPO!J13*100</f>
        <v>1.696858572865946</v>
      </c>
      <c r="D13" s="17">
        <v>1.03</v>
      </c>
      <c r="E13" s="17">
        <f>Assets!L13/DEPO!L13*100</f>
        <v>0.62603109464624795</v>
      </c>
      <c r="F13" s="17">
        <v>25.5</v>
      </c>
      <c r="G13" s="17">
        <v>28.02</v>
      </c>
      <c r="H13" s="17">
        <v>31</v>
      </c>
      <c r="I13" s="89">
        <v>11.16</v>
      </c>
      <c r="J13" s="88">
        <v>17.989999999999998</v>
      </c>
      <c r="K13" s="153">
        <v>24.33</v>
      </c>
    </row>
    <row r="14" spans="1:11" ht="19.149999999999999" customHeight="1" x14ac:dyDescent="0.25">
      <c r="A14" s="151">
        <v>12</v>
      </c>
      <c r="B14" s="47" t="s">
        <v>13</v>
      </c>
      <c r="C14" s="17">
        <f>Assets!J14/DEPO!J14*100</f>
        <v>0.67098571749175884</v>
      </c>
      <c r="D14" s="17">
        <v>0.56999999999999995</v>
      </c>
      <c r="E14" s="17">
        <v>0.47</v>
      </c>
      <c r="F14" s="155">
        <v>29.78</v>
      </c>
      <c r="G14" s="155">
        <v>34.1</v>
      </c>
      <c r="H14" s="155">
        <v>37.369999999999997</v>
      </c>
      <c r="I14" s="89">
        <v>21.23</v>
      </c>
      <c r="J14" s="89">
        <v>26.2</v>
      </c>
      <c r="K14" s="89">
        <v>29.91</v>
      </c>
    </row>
    <row r="15" spans="1:11" ht="19.5" customHeight="1" x14ac:dyDescent="0.25">
      <c r="A15" s="12"/>
      <c r="B15" s="3"/>
      <c r="C15" s="24"/>
      <c r="D15" s="24"/>
      <c r="E15" s="24"/>
      <c r="F15" s="25"/>
      <c r="G15" s="25"/>
      <c r="H15" s="25"/>
      <c r="K15" s="11"/>
    </row>
    <row r="17" spans="11:11" hidden="1" x14ac:dyDescent="0.25">
      <c r="K17" s="26"/>
    </row>
  </sheetData>
  <mergeCells count="3">
    <mergeCell ref="I1:K1"/>
    <mergeCell ref="C1:E1"/>
    <mergeCell ref="F1:H1"/>
  </mergeCells>
  <pageMargins left="0.51181102362204722" right="0.31496062992125984" top="0.39370078740157483" bottom="0.39370078740157483" header="0" footer="0.31496062992125984"/>
  <pageSetup paperSize="9" scale="9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DEPO</vt:lpstr>
      <vt:lpstr>Assets</vt:lpstr>
      <vt:lpstr>INCOME</vt:lpstr>
      <vt:lpstr>EXP</vt:lpstr>
      <vt:lpstr>Profit</vt:lpstr>
      <vt:lpstr>Ratio I</vt:lpstr>
      <vt:lpstr>Ratio II</vt:lpstr>
      <vt:lpstr>NetNPAtoNetADV</vt:lpstr>
      <vt:lpstr>Assets!Print_Area</vt:lpstr>
      <vt:lpstr>DEPO!Print_Area</vt:lpstr>
      <vt:lpstr>EXP!Print_Area</vt:lpstr>
      <vt:lpstr>INCOME!Print_Area</vt:lpstr>
      <vt:lpstr>NetNPAtoNetADV!Print_Area</vt:lpstr>
      <vt:lpstr>Profit!Print_Area</vt:lpstr>
      <vt:lpstr>'Ratio I'!Print_Area</vt:lpstr>
      <vt:lpstr>'Ratio II'!Print_Area</vt:lpstr>
    </vt:vector>
  </TitlesOfParts>
  <Company>Wipro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Economics</dc:creator>
  <cp:lastModifiedBy>Aditya Bapat</cp:lastModifiedBy>
  <cp:lastPrinted>2025-06-16T11:34:13Z</cp:lastPrinted>
  <dcterms:created xsi:type="dcterms:W3CDTF">2012-04-25T08:23:48Z</dcterms:created>
  <dcterms:modified xsi:type="dcterms:W3CDTF">2026-05-04T18:13:05Z</dcterms:modified>
</cp:coreProperties>
</file>